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tr\Documents\GitHub\Mech-421-3-Final-Project\Labs\Lab 6 Code\C#\MECH423Lab6Ex3\"/>
    </mc:Choice>
  </mc:AlternateContent>
  <xr:revisionPtr revIDLastSave="0" documentId="13_ncr:1_{D3CDBF55-C775-4D8D-84A4-A22FF0772EC5}" xr6:coauthVersionLast="47" xr6:coauthVersionMax="47" xr10:uidLastSave="{00000000-0000-0000-0000-000000000000}"/>
  <bookViews>
    <workbookView xWindow="-120" yWindow="-120" windowWidth="29040" windowHeight="15720" xr2:uid="{C00AF136-03F5-4C6C-8AC3-5A6C068131C8}"/>
  </bookViews>
  <sheets>
    <sheet name="step25 (2)" sheetId="2" r:id="rId1"/>
    <sheet name="step25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D4" i="2"/>
  <c r="E24" i="1"/>
  <c r="E40" i="1"/>
  <c r="E41" i="1"/>
  <c r="E42" i="1"/>
  <c r="E72" i="1"/>
  <c r="E73" i="1"/>
  <c r="E74" i="1"/>
  <c r="E75" i="1"/>
  <c r="E87" i="1"/>
  <c r="E88" i="1"/>
  <c r="E89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E23" i="1" s="1"/>
  <c r="D24" i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D41" i="1"/>
  <c r="D42" i="1"/>
  <c r="D43" i="1"/>
  <c r="E43" i="1" s="1"/>
  <c r="D44" i="1"/>
  <c r="E44" i="1" s="1"/>
  <c r="D45" i="1"/>
  <c r="E45" i="1" s="1"/>
  <c r="D46" i="1"/>
  <c r="E46" i="1" s="1"/>
  <c r="D47" i="1"/>
  <c r="E47" i="1" s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E70" i="1" s="1"/>
  <c r="D71" i="1"/>
  <c r="E71" i="1" s="1"/>
  <c r="D72" i="1"/>
  <c r="D73" i="1"/>
  <c r="D74" i="1"/>
  <c r="D75" i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D88" i="1"/>
  <c r="D89" i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D100" i="1"/>
  <c r="D101" i="1"/>
  <c r="D102" i="1"/>
  <c r="D103" i="1"/>
  <c r="D3" i="1"/>
  <c r="F2" i="2" l="1"/>
  <c r="F2" i="1"/>
</calcChain>
</file>

<file path=xl/sharedStrings.xml><?xml version="1.0" encoding="utf-8"?>
<sst xmlns="http://schemas.openxmlformats.org/spreadsheetml/2006/main" count="6" uniqueCount="3">
  <si>
    <t>Time_ms</t>
  </si>
  <si>
    <t>Position_cm</t>
  </si>
  <si>
    <t>Velocity_RPM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</si>
</sst>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'step25 (2)'!$A$1:$A$101</c:f>
              <c:strCache>
                <c:ptCount val="29"/>
                <c:pt idx="0">
                  <c:v>Time_ms</c:v>
                </c:pt>
                <c:pt idx="1">
                  <c:v>45</c:v>
                </c:pt>
                <c:pt idx="2">
                  <c:v>1493</c:v>
                </c:pt>
                <c:pt idx="3">
                  <c:v>1574</c:v>
                </c:pt>
                <c:pt idx="4">
                  <c:v>1655</c:v>
                </c:pt>
                <c:pt idx="5">
                  <c:v>1735</c:v>
                </c:pt>
                <c:pt idx="6">
                  <c:v>1815</c:v>
                </c:pt>
                <c:pt idx="7">
                  <c:v>1896</c:v>
                </c:pt>
                <c:pt idx="8">
                  <c:v>1976</c:v>
                </c:pt>
                <c:pt idx="9">
                  <c:v>2057</c:v>
                </c:pt>
                <c:pt idx="10">
                  <c:v>2137</c:v>
                </c:pt>
                <c:pt idx="11">
                  <c:v>2218</c:v>
                </c:pt>
                <c:pt idx="12">
                  <c:v>2298</c:v>
                </c:pt>
                <c:pt idx="13">
                  <c:v>2378</c:v>
                </c:pt>
                <c:pt idx="14">
                  <c:v>2459</c:v>
                </c:pt>
                <c:pt idx="15">
                  <c:v>2539</c:v>
                </c:pt>
                <c:pt idx="16">
                  <c:v>2620</c:v>
                </c:pt>
                <c:pt idx="17">
                  <c:v>2700</c:v>
                </c:pt>
                <c:pt idx="18">
                  <c:v>2781</c:v>
                </c:pt>
                <c:pt idx="19">
                  <c:v>2861</c:v>
                </c:pt>
                <c:pt idx="20">
                  <c:v>2942</c:v>
                </c:pt>
                <c:pt idx="21">
                  <c:v>3023</c:v>
                </c:pt>
                <c:pt idx="22">
                  <c:v>3103</c:v>
                </c:pt>
                <c:pt idx="23">
                  <c:v>3183</c:v>
                </c:pt>
                <c:pt idx="24">
                  <c:v>3264</c:v>
                </c:pt>
                <c:pt idx="25">
                  <c:v>3344</c:v>
                </c:pt>
                <c:pt idx="26">
                  <c:v>3424</c:v>
                </c:pt>
                <c:pt idx="27">
                  <c:v>3505</c:v>
                </c:pt>
                <c:pt idx="28">
                  <c:v>3586</c:v>
                </c:pt>
              </c:strCache>
            </c:strRef>
          </c:xVal>
          <c:yVal>
            <c:numRef>
              <c:f>'step25 (2)'!$D$1:$D$101</c:f>
              <c:numCache>
                <c:formatCode>General</c:formatCode>
                <c:ptCount val="101"/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9.8588430681949024</c:v>
                </c:pt>
                <c:pt idx="6">
                  <c:v>19.710143027693768</c:v>
                </c:pt>
                <c:pt idx="7">
                  <c:v>18.252460553018228</c:v>
                </c:pt>
                <c:pt idx="8">
                  <c:v>18.480616309930955</c:v>
                </c:pt>
                <c:pt idx="9">
                  <c:v>23.11730003918839</c:v>
                </c:pt>
                <c:pt idx="10">
                  <c:v>19.710143027693768</c:v>
                </c:pt>
                <c:pt idx="11">
                  <c:v>19.466807928586441</c:v>
                </c:pt>
                <c:pt idx="12">
                  <c:v>18.480616309930955</c:v>
                </c:pt>
                <c:pt idx="13">
                  <c:v>22.17673957191543</c:v>
                </c:pt>
                <c:pt idx="14">
                  <c:v>21.90295266362018</c:v>
                </c:pt>
                <c:pt idx="15">
                  <c:v>20.947212854156906</c:v>
                </c:pt>
                <c:pt idx="16">
                  <c:v>18.252460553018228</c:v>
                </c:pt>
                <c:pt idx="17">
                  <c:v>19.710143027693768</c:v>
                </c:pt>
                <c:pt idx="18">
                  <c:v>23.11730003918839</c:v>
                </c:pt>
                <c:pt idx="19">
                  <c:v>20.947212854152621</c:v>
                </c:pt>
                <c:pt idx="20">
                  <c:v>19.466807928586441</c:v>
                </c:pt>
                <c:pt idx="21">
                  <c:v>17.038113177450018</c:v>
                </c:pt>
                <c:pt idx="22">
                  <c:v>22.17673957191543</c:v>
                </c:pt>
                <c:pt idx="23">
                  <c:v>23.406266289682531</c:v>
                </c:pt>
                <c:pt idx="24">
                  <c:v>19.466807928586441</c:v>
                </c:pt>
                <c:pt idx="25">
                  <c:v>18.480616309926667</c:v>
                </c:pt>
                <c:pt idx="26">
                  <c:v>18.480616309930955</c:v>
                </c:pt>
                <c:pt idx="27">
                  <c:v>23.117300039192624</c:v>
                </c:pt>
                <c:pt idx="28">
                  <c:v>10.95147633181009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4-4255-BA0A-514B7DDE2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27519"/>
        <c:axId val="1531234719"/>
      </c:scatterChart>
      <c:valAx>
        <c:axId val="153122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34719"/>
        <c:crosses val="autoZero"/>
        <c:crossBetween val="midCat"/>
      </c:valAx>
      <c:valAx>
        <c:axId val="153123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2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Step</a:t>
            </a:r>
            <a:r>
              <a:rPr lang="en-US" baseline="0"/>
              <a:t> 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step25!$A$12:$A$45</c:f>
              <c:numCache>
                <c:formatCode>General</c:formatCode>
                <c:ptCount val="34"/>
                <c:pt idx="0">
                  <c:v>850</c:v>
                </c:pt>
                <c:pt idx="1">
                  <c:v>930</c:v>
                </c:pt>
                <c:pt idx="2">
                  <c:v>1011</c:v>
                </c:pt>
                <c:pt idx="3">
                  <c:v>1091</c:v>
                </c:pt>
                <c:pt idx="4">
                  <c:v>1172</c:v>
                </c:pt>
                <c:pt idx="5">
                  <c:v>1252</c:v>
                </c:pt>
                <c:pt idx="6">
                  <c:v>1332</c:v>
                </c:pt>
                <c:pt idx="7">
                  <c:v>1413</c:v>
                </c:pt>
                <c:pt idx="8">
                  <c:v>1493</c:v>
                </c:pt>
                <c:pt idx="9">
                  <c:v>1574</c:v>
                </c:pt>
                <c:pt idx="10">
                  <c:v>1655</c:v>
                </c:pt>
                <c:pt idx="11">
                  <c:v>1735</c:v>
                </c:pt>
                <c:pt idx="12">
                  <c:v>1815</c:v>
                </c:pt>
                <c:pt idx="13">
                  <c:v>1896</c:v>
                </c:pt>
                <c:pt idx="14">
                  <c:v>1976</c:v>
                </c:pt>
                <c:pt idx="15">
                  <c:v>2057</c:v>
                </c:pt>
                <c:pt idx="16">
                  <c:v>2137</c:v>
                </c:pt>
                <c:pt idx="17">
                  <c:v>2218</c:v>
                </c:pt>
                <c:pt idx="18">
                  <c:v>2298</c:v>
                </c:pt>
                <c:pt idx="19">
                  <c:v>2378</c:v>
                </c:pt>
                <c:pt idx="20">
                  <c:v>2459</c:v>
                </c:pt>
                <c:pt idx="21">
                  <c:v>2539</c:v>
                </c:pt>
                <c:pt idx="22">
                  <c:v>2620</c:v>
                </c:pt>
                <c:pt idx="23">
                  <c:v>2700</c:v>
                </c:pt>
                <c:pt idx="24">
                  <c:v>2781</c:v>
                </c:pt>
                <c:pt idx="25">
                  <c:v>2861</c:v>
                </c:pt>
                <c:pt idx="26">
                  <c:v>2942</c:v>
                </c:pt>
                <c:pt idx="27">
                  <c:v>3023</c:v>
                </c:pt>
                <c:pt idx="28">
                  <c:v>3103</c:v>
                </c:pt>
                <c:pt idx="29">
                  <c:v>3183</c:v>
                </c:pt>
                <c:pt idx="30">
                  <c:v>3264</c:v>
                </c:pt>
                <c:pt idx="31">
                  <c:v>3344</c:v>
                </c:pt>
                <c:pt idx="32">
                  <c:v>3424</c:v>
                </c:pt>
                <c:pt idx="33">
                  <c:v>3505</c:v>
                </c:pt>
              </c:numCache>
            </c:numRef>
          </c:xVal>
          <c:yVal>
            <c:numRef>
              <c:f>step25!$D$12:$D$45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9.8024999999992701</c:v>
                </c:pt>
                <c:pt idx="12">
                  <c:v>19.597500000000423</c:v>
                </c:pt>
                <c:pt idx="13">
                  <c:v>18.148148148148483</c:v>
                </c:pt>
                <c:pt idx="14">
                  <c:v>18.375000000000341</c:v>
                </c:pt>
                <c:pt idx="15">
                  <c:v>22.985185185183987</c:v>
                </c:pt>
                <c:pt idx="16">
                  <c:v>19.597500000000423</c:v>
                </c:pt>
                <c:pt idx="17">
                  <c:v>19.355555555555974</c:v>
                </c:pt>
                <c:pt idx="18">
                  <c:v>18.375000000000341</c:v>
                </c:pt>
                <c:pt idx="19">
                  <c:v>22.049999999998704</c:v>
                </c:pt>
                <c:pt idx="20">
                  <c:v>21.7777777777765</c:v>
                </c:pt>
                <c:pt idx="21">
                  <c:v>20.827500000002885</c:v>
                </c:pt>
                <c:pt idx="22">
                  <c:v>18.148148148148483</c:v>
                </c:pt>
                <c:pt idx="23">
                  <c:v>19.597500000000423</c:v>
                </c:pt>
                <c:pt idx="24">
                  <c:v>22.985185185183987</c:v>
                </c:pt>
                <c:pt idx="25">
                  <c:v>20.827499999998622</c:v>
                </c:pt>
                <c:pt idx="26">
                  <c:v>19.355555555555974</c:v>
                </c:pt>
                <c:pt idx="27">
                  <c:v>16.940740740740996</c:v>
                </c:pt>
                <c:pt idx="28">
                  <c:v>22.049999999998704</c:v>
                </c:pt>
                <c:pt idx="29">
                  <c:v>23.272500000003049</c:v>
                </c:pt>
                <c:pt idx="30">
                  <c:v>19.355555555555974</c:v>
                </c:pt>
                <c:pt idx="31">
                  <c:v>18.374999999996078</c:v>
                </c:pt>
                <c:pt idx="32">
                  <c:v>18.375000000000341</c:v>
                </c:pt>
                <c:pt idx="33">
                  <c:v>22.985185185188197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CE-444E-8CFB-963ED0435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751168"/>
        <c:axId val="991753568"/>
      </c:scatterChart>
      <c:valAx>
        <c:axId val="99175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53568"/>
        <c:crosses val="autoZero"/>
        <c:crossBetween val="midCat"/>
      </c:valAx>
      <c:valAx>
        <c:axId val="99175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5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5</xdr:row>
      <xdr:rowOff>147637</xdr:rowOff>
    </xdr:from>
    <xdr:to>
      <xdr:col>17</xdr:col>
      <xdr:colOff>190500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FE2D06-9347-5BC4-203A-59BDCC6AF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9</xdr:row>
      <xdr:rowOff>109537</xdr:rowOff>
    </xdr:from>
    <xdr:to>
      <xdr:col>15</xdr:col>
      <xdr:colOff>390525</xdr:colOff>
      <xdr:row>23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0F9383-2B46-C0A1-641F-89530189C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30725-D004-470E-ACDA-BC265BD22287}">
  <dimension ref="A1:G29"/>
  <sheetViews>
    <sheetView tabSelected="1" workbookViewId="0">
      <selection activeCell="G20" sqref="G2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45</v>
      </c>
      <c r="B2">
        <v>276.1234</v>
      </c>
      <c r="C2">
        <v>0</v>
      </c>
      <c r="F2">
        <f>AVERAGE(E:E)</f>
        <v>0.9999758018175573</v>
      </c>
      <c r="G2">
        <v>6034.4869583446898</v>
      </c>
    </row>
    <row r="3" spans="1:7" x14ac:dyDescent="0.25">
      <c r="A3">
        <v>1493</v>
      </c>
      <c r="B3">
        <v>276.1234</v>
      </c>
      <c r="C3">
        <v>0</v>
      </c>
      <c r="D3">
        <f t="shared" ref="D3:D29" si="0">(B3-B2)/(A3-A2)*$G$2</f>
        <v>0</v>
      </c>
    </row>
    <row r="4" spans="1:7" x14ac:dyDescent="0.25">
      <c r="A4">
        <v>1574</v>
      </c>
      <c r="B4">
        <v>276.1234</v>
      </c>
      <c r="C4">
        <v>0</v>
      </c>
      <c r="D4">
        <f t="shared" si="0"/>
        <v>0</v>
      </c>
    </row>
    <row r="5" spans="1:7" x14ac:dyDescent="0.25">
      <c r="A5">
        <v>1655</v>
      </c>
      <c r="B5">
        <v>276.1234</v>
      </c>
      <c r="C5">
        <v>0</v>
      </c>
      <c r="D5">
        <f t="shared" si="0"/>
        <v>0</v>
      </c>
    </row>
    <row r="6" spans="1:7" x14ac:dyDescent="0.25">
      <c r="A6">
        <v>1735</v>
      </c>
      <c r="B6">
        <v>276.25409999999999</v>
      </c>
      <c r="C6">
        <v>9.7996999999999996</v>
      </c>
      <c r="D6">
        <f t="shared" si="0"/>
        <v>9.8588430681949024</v>
      </c>
      <c r="E6">
        <f>C6/D6</f>
        <v>0.99400101332521451</v>
      </c>
    </row>
    <row r="7" spans="1:7" x14ac:dyDescent="0.25">
      <c r="A7">
        <v>1815</v>
      </c>
      <c r="B7">
        <v>276.5154</v>
      </c>
      <c r="C7">
        <v>19.599399999999999</v>
      </c>
      <c r="D7">
        <f t="shared" si="0"/>
        <v>19.710143027693768</v>
      </c>
      <c r="E7">
        <f t="shared" ref="E7:E29" si="1">C7/D7</f>
        <v>0.99438141937690816</v>
      </c>
    </row>
    <row r="8" spans="1:7" x14ac:dyDescent="0.25">
      <c r="A8">
        <v>1896</v>
      </c>
      <c r="B8">
        <v>276.7604</v>
      </c>
      <c r="C8">
        <v>18.374500000000001</v>
      </c>
      <c r="D8">
        <f t="shared" si="0"/>
        <v>18.252460553018228</v>
      </c>
      <c r="E8">
        <f t="shared" si="1"/>
        <v>1.0066861915207148</v>
      </c>
    </row>
    <row r="9" spans="1:7" x14ac:dyDescent="0.25">
      <c r="A9">
        <v>1976</v>
      </c>
      <c r="B9">
        <v>277.00540000000001</v>
      </c>
      <c r="C9">
        <v>18.374500000000001</v>
      </c>
      <c r="D9">
        <f t="shared" si="0"/>
        <v>18.480616309930955</v>
      </c>
      <c r="E9">
        <f t="shared" si="1"/>
        <v>0.99425796693403945</v>
      </c>
    </row>
    <row r="10" spans="1:7" x14ac:dyDescent="0.25">
      <c r="A10">
        <v>2057</v>
      </c>
      <c r="B10">
        <v>277.31569999999999</v>
      </c>
      <c r="C10">
        <v>23.2743</v>
      </c>
      <c r="D10">
        <f t="shared" si="0"/>
        <v>23.11730003918839</v>
      </c>
      <c r="E10">
        <f t="shared" si="1"/>
        <v>1.0067914488519623</v>
      </c>
    </row>
    <row r="11" spans="1:7" x14ac:dyDescent="0.25">
      <c r="A11">
        <v>2137</v>
      </c>
      <c r="B11">
        <v>277.577</v>
      </c>
      <c r="C11">
        <v>19.599399999999999</v>
      </c>
      <c r="D11">
        <f t="shared" si="0"/>
        <v>19.710143027693768</v>
      </c>
      <c r="E11">
        <f t="shared" si="1"/>
        <v>0.99438141937690816</v>
      </c>
    </row>
    <row r="12" spans="1:7" x14ac:dyDescent="0.25">
      <c r="A12">
        <v>2218</v>
      </c>
      <c r="B12">
        <v>277.8383</v>
      </c>
      <c r="C12">
        <v>19.599399999999999</v>
      </c>
      <c r="D12">
        <f t="shared" si="0"/>
        <v>19.466807928586441</v>
      </c>
      <c r="E12">
        <f t="shared" si="1"/>
        <v>1.0068111871191194</v>
      </c>
    </row>
    <row r="13" spans="1:7" x14ac:dyDescent="0.25">
      <c r="A13">
        <v>2298</v>
      </c>
      <c r="B13">
        <v>278.08330000000001</v>
      </c>
      <c r="C13">
        <v>18.374500000000001</v>
      </c>
      <c r="D13">
        <f t="shared" si="0"/>
        <v>18.480616309930955</v>
      </c>
      <c r="E13">
        <f t="shared" si="1"/>
        <v>0.99425796693403945</v>
      </c>
    </row>
    <row r="14" spans="1:7" x14ac:dyDescent="0.25">
      <c r="A14">
        <v>2378</v>
      </c>
      <c r="B14">
        <v>278.37729999999999</v>
      </c>
      <c r="C14">
        <v>22.049399999999999</v>
      </c>
      <c r="D14">
        <f t="shared" si="0"/>
        <v>22.17673957191543</v>
      </c>
      <c r="E14">
        <f t="shared" si="1"/>
        <v>0.99425796693411628</v>
      </c>
    </row>
    <row r="15" spans="1:7" x14ac:dyDescent="0.25">
      <c r="A15">
        <v>2459</v>
      </c>
      <c r="B15">
        <v>278.67129999999997</v>
      </c>
      <c r="C15">
        <v>22.049399999999999</v>
      </c>
      <c r="D15">
        <f t="shared" si="0"/>
        <v>21.90295266362018</v>
      </c>
      <c r="E15">
        <f t="shared" si="1"/>
        <v>1.0066861915207925</v>
      </c>
    </row>
    <row r="16" spans="1:7" x14ac:dyDescent="0.25">
      <c r="A16">
        <v>2539</v>
      </c>
      <c r="B16">
        <v>278.94900000000001</v>
      </c>
      <c r="C16">
        <v>20.824400000000001</v>
      </c>
      <c r="D16">
        <f t="shared" si="0"/>
        <v>20.947212854156906</v>
      </c>
      <c r="E16">
        <f t="shared" si="1"/>
        <v>0.99413703125986363</v>
      </c>
    </row>
    <row r="17" spans="1:5" x14ac:dyDescent="0.25">
      <c r="A17">
        <v>2620</v>
      </c>
      <c r="B17">
        <v>279.19400000000002</v>
      </c>
      <c r="C17">
        <v>18.374500000000001</v>
      </c>
      <c r="D17">
        <f t="shared" si="0"/>
        <v>18.252460553018228</v>
      </c>
      <c r="E17">
        <f t="shared" si="1"/>
        <v>1.0066861915207148</v>
      </c>
    </row>
    <row r="18" spans="1:5" x14ac:dyDescent="0.25">
      <c r="A18">
        <v>2700</v>
      </c>
      <c r="B18">
        <v>279.45530000000002</v>
      </c>
      <c r="C18">
        <v>19.599399999999999</v>
      </c>
      <c r="D18">
        <f t="shared" si="0"/>
        <v>19.710143027693768</v>
      </c>
      <c r="E18">
        <f t="shared" si="1"/>
        <v>0.99438141937690816</v>
      </c>
    </row>
    <row r="19" spans="1:5" x14ac:dyDescent="0.25">
      <c r="A19">
        <v>2781</v>
      </c>
      <c r="B19">
        <v>279.76560000000001</v>
      </c>
      <c r="C19">
        <v>23.2743</v>
      </c>
      <c r="D19">
        <f t="shared" si="0"/>
        <v>23.11730003918839</v>
      </c>
      <c r="E19">
        <f t="shared" si="1"/>
        <v>1.0067914488519623</v>
      </c>
    </row>
    <row r="20" spans="1:5" x14ac:dyDescent="0.25">
      <c r="A20">
        <v>2861</v>
      </c>
      <c r="B20">
        <v>280.04329999999999</v>
      </c>
      <c r="C20">
        <v>20.824400000000001</v>
      </c>
      <c r="D20">
        <f t="shared" si="0"/>
        <v>20.947212854152621</v>
      </c>
      <c r="E20">
        <f t="shared" si="1"/>
        <v>0.99413703126006692</v>
      </c>
    </row>
    <row r="21" spans="1:5" x14ac:dyDescent="0.25">
      <c r="A21">
        <v>2942</v>
      </c>
      <c r="B21">
        <v>280.30459999999999</v>
      </c>
      <c r="C21">
        <v>19.599399999999999</v>
      </c>
      <c r="D21">
        <f t="shared" si="0"/>
        <v>19.466807928586441</v>
      </c>
      <c r="E21">
        <f t="shared" si="1"/>
        <v>1.0068111871191194</v>
      </c>
    </row>
    <row r="22" spans="1:5" x14ac:dyDescent="0.25">
      <c r="A22">
        <v>3023</v>
      </c>
      <c r="B22">
        <v>280.5333</v>
      </c>
      <c r="C22">
        <v>17.1495</v>
      </c>
      <c r="D22">
        <f t="shared" si="0"/>
        <v>17.038113177450018</v>
      </c>
      <c r="E22">
        <f t="shared" si="1"/>
        <v>1.0065375092529261</v>
      </c>
    </row>
    <row r="23" spans="1:5" x14ac:dyDescent="0.25">
      <c r="A23">
        <v>3103</v>
      </c>
      <c r="B23">
        <v>280.82729999999998</v>
      </c>
      <c r="C23">
        <v>22.049399999999999</v>
      </c>
      <c r="D23">
        <f t="shared" si="0"/>
        <v>22.17673957191543</v>
      </c>
      <c r="E23">
        <f t="shared" si="1"/>
        <v>0.99425796693411628</v>
      </c>
    </row>
    <row r="24" spans="1:5" x14ac:dyDescent="0.25">
      <c r="A24">
        <v>3183</v>
      </c>
      <c r="B24">
        <v>281.13760000000002</v>
      </c>
      <c r="C24">
        <v>23.2743</v>
      </c>
      <c r="D24">
        <f t="shared" si="0"/>
        <v>23.406266289682531</v>
      </c>
      <c r="E24">
        <f t="shared" si="1"/>
        <v>0.99436192479187924</v>
      </c>
    </row>
    <row r="25" spans="1:5" x14ac:dyDescent="0.25">
      <c r="A25">
        <v>3264</v>
      </c>
      <c r="B25">
        <v>281.39890000000003</v>
      </c>
      <c r="C25">
        <v>19.599399999999999</v>
      </c>
      <c r="D25">
        <f t="shared" si="0"/>
        <v>19.466807928586441</v>
      </c>
      <c r="E25">
        <f t="shared" si="1"/>
        <v>1.0068111871191194</v>
      </c>
    </row>
    <row r="26" spans="1:5" x14ac:dyDescent="0.25">
      <c r="A26">
        <v>3344</v>
      </c>
      <c r="B26">
        <v>281.64389999999997</v>
      </c>
      <c r="C26">
        <v>18.374500000000001</v>
      </c>
      <c r="D26">
        <f t="shared" si="0"/>
        <v>18.480616309926667</v>
      </c>
      <c r="E26">
        <f t="shared" si="1"/>
        <v>0.99425796693427015</v>
      </c>
    </row>
    <row r="27" spans="1:5" x14ac:dyDescent="0.25">
      <c r="A27">
        <v>3424</v>
      </c>
      <c r="B27">
        <v>281.88889999999998</v>
      </c>
      <c r="C27">
        <v>18.374500000000001</v>
      </c>
      <c r="D27">
        <f t="shared" si="0"/>
        <v>18.480616309930955</v>
      </c>
      <c r="E27">
        <f t="shared" si="1"/>
        <v>0.99425796693403945</v>
      </c>
    </row>
    <row r="28" spans="1:5" x14ac:dyDescent="0.25">
      <c r="A28">
        <v>3505</v>
      </c>
      <c r="B28">
        <v>282.19920000000002</v>
      </c>
      <c r="C28">
        <v>23.2743</v>
      </c>
      <c r="D28">
        <f t="shared" si="0"/>
        <v>23.117300039192624</v>
      </c>
      <c r="E28">
        <f t="shared" si="1"/>
        <v>1.0067914488517777</v>
      </c>
    </row>
    <row r="29" spans="1:5" x14ac:dyDescent="0.25">
      <c r="A29">
        <v>3586</v>
      </c>
      <c r="B29">
        <v>282.34620000000001</v>
      </c>
      <c r="C29">
        <v>11.024699999999999</v>
      </c>
      <c r="D29">
        <f t="shared" si="0"/>
        <v>10.95147633181009</v>
      </c>
      <c r="E29">
        <f t="shared" si="1"/>
        <v>1.0066861915207925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8E0-96F6-4C6C-A58F-C4ECF75613A9}">
  <dimension ref="A1:G103"/>
  <sheetViews>
    <sheetView workbookViewId="0">
      <selection activeCell="D2" sqref="D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45</v>
      </c>
      <c r="B2">
        <v>276.1234</v>
      </c>
      <c r="C2">
        <v>0</v>
      </c>
      <c r="F2">
        <f>AVERAGE(E:E)</f>
        <v>1.0056237405150315</v>
      </c>
      <c r="G2">
        <v>6000</v>
      </c>
    </row>
    <row r="3" spans="1:7" x14ac:dyDescent="0.25">
      <c r="A3">
        <v>126</v>
      </c>
      <c r="B3">
        <v>276.1234</v>
      </c>
      <c r="C3">
        <v>0</v>
      </c>
      <c r="D3">
        <f>(B3-B2)/(A3-A2)*$G$2</f>
        <v>0</v>
      </c>
    </row>
    <row r="4" spans="1:7" x14ac:dyDescent="0.25">
      <c r="A4">
        <v>206</v>
      </c>
      <c r="B4">
        <v>276.1234</v>
      </c>
      <c r="C4">
        <v>0</v>
      </c>
      <c r="D4">
        <f t="shared" ref="D4:D67" si="0">(B4-B3)/(A4-A3)*$G$2</f>
        <v>0</v>
      </c>
    </row>
    <row r="5" spans="1:7" x14ac:dyDescent="0.25">
      <c r="A5">
        <v>287</v>
      </c>
      <c r="B5">
        <v>276.1234</v>
      </c>
      <c r="C5">
        <v>0</v>
      </c>
      <c r="D5">
        <f t="shared" si="0"/>
        <v>0</v>
      </c>
    </row>
    <row r="6" spans="1:7" x14ac:dyDescent="0.25">
      <c r="A6">
        <v>367</v>
      </c>
      <c r="B6">
        <v>276.1234</v>
      </c>
      <c r="C6">
        <v>0</v>
      </c>
      <c r="D6">
        <f t="shared" si="0"/>
        <v>0</v>
      </c>
    </row>
    <row r="7" spans="1:7" x14ac:dyDescent="0.25">
      <c r="A7">
        <v>448</v>
      </c>
      <c r="B7">
        <v>276.1234</v>
      </c>
      <c r="C7">
        <v>0</v>
      </c>
      <c r="D7">
        <f t="shared" si="0"/>
        <v>0</v>
      </c>
    </row>
    <row r="8" spans="1:7" x14ac:dyDescent="0.25">
      <c r="A8">
        <v>528</v>
      </c>
      <c r="B8">
        <v>276.1234</v>
      </c>
      <c r="C8">
        <v>0</v>
      </c>
      <c r="D8">
        <f t="shared" si="0"/>
        <v>0</v>
      </c>
    </row>
    <row r="9" spans="1:7" x14ac:dyDescent="0.25">
      <c r="A9">
        <v>609</v>
      </c>
      <c r="B9">
        <v>276.1234</v>
      </c>
      <c r="C9">
        <v>0</v>
      </c>
      <c r="D9">
        <f t="shared" si="0"/>
        <v>0</v>
      </c>
    </row>
    <row r="10" spans="1:7" x14ac:dyDescent="0.25">
      <c r="A10">
        <v>689</v>
      </c>
      <c r="B10">
        <v>276.1234</v>
      </c>
      <c r="C10">
        <v>0</v>
      </c>
      <c r="D10">
        <f t="shared" si="0"/>
        <v>0</v>
      </c>
    </row>
    <row r="11" spans="1:7" x14ac:dyDescent="0.25">
      <c r="A11">
        <v>769</v>
      </c>
      <c r="B11">
        <v>276.1234</v>
      </c>
      <c r="C11">
        <v>0</v>
      </c>
      <c r="D11">
        <f t="shared" si="0"/>
        <v>0</v>
      </c>
    </row>
    <row r="12" spans="1:7" x14ac:dyDescent="0.25">
      <c r="A12">
        <v>850</v>
      </c>
      <c r="B12">
        <v>276.1234</v>
      </c>
      <c r="C12">
        <v>0</v>
      </c>
      <c r="D12">
        <f t="shared" si="0"/>
        <v>0</v>
      </c>
    </row>
    <row r="13" spans="1:7" x14ac:dyDescent="0.25">
      <c r="A13">
        <v>930</v>
      </c>
      <c r="B13">
        <v>276.1234</v>
      </c>
      <c r="C13">
        <v>0</v>
      </c>
      <c r="D13">
        <f t="shared" si="0"/>
        <v>0</v>
      </c>
    </row>
    <row r="14" spans="1:7" x14ac:dyDescent="0.25">
      <c r="A14">
        <v>1011</v>
      </c>
      <c r="B14">
        <v>276.1234</v>
      </c>
      <c r="C14">
        <v>0</v>
      </c>
      <c r="D14">
        <f t="shared" si="0"/>
        <v>0</v>
      </c>
    </row>
    <row r="15" spans="1:7" x14ac:dyDescent="0.25">
      <c r="A15">
        <v>1091</v>
      </c>
      <c r="B15">
        <v>276.1234</v>
      </c>
      <c r="C15">
        <v>0</v>
      </c>
      <c r="D15">
        <f t="shared" si="0"/>
        <v>0</v>
      </c>
    </row>
    <row r="16" spans="1:7" x14ac:dyDescent="0.25">
      <c r="A16">
        <v>1172</v>
      </c>
      <c r="B16">
        <v>276.1234</v>
      </c>
      <c r="C16">
        <v>0</v>
      </c>
      <c r="D16">
        <f t="shared" si="0"/>
        <v>0</v>
      </c>
    </row>
    <row r="17" spans="1:5" x14ac:dyDescent="0.25">
      <c r="A17">
        <v>1252</v>
      </c>
      <c r="B17">
        <v>276.1234</v>
      </c>
      <c r="C17">
        <v>0</v>
      </c>
      <c r="D17">
        <f t="shared" si="0"/>
        <v>0</v>
      </c>
    </row>
    <row r="18" spans="1:5" x14ac:dyDescent="0.25">
      <c r="A18">
        <v>1332</v>
      </c>
      <c r="B18">
        <v>276.1234</v>
      </c>
      <c r="C18">
        <v>0</v>
      </c>
      <c r="D18">
        <f t="shared" si="0"/>
        <v>0</v>
      </c>
    </row>
    <row r="19" spans="1:5" x14ac:dyDescent="0.25">
      <c r="A19">
        <v>1413</v>
      </c>
      <c r="B19">
        <v>276.1234</v>
      </c>
      <c r="C19">
        <v>0</v>
      </c>
      <c r="D19">
        <f t="shared" si="0"/>
        <v>0</v>
      </c>
    </row>
    <row r="20" spans="1:5" x14ac:dyDescent="0.25">
      <c r="A20">
        <v>1493</v>
      </c>
      <c r="B20">
        <v>276.1234</v>
      </c>
      <c r="C20">
        <v>0</v>
      </c>
      <c r="D20">
        <f t="shared" si="0"/>
        <v>0</v>
      </c>
    </row>
    <row r="21" spans="1:5" x14ac:dyDescent="0.25">
      <c r="A21">
        <v>1574</v>
      </c>
      <c r="B21">
        <v>276.1234</v>
      </c>
      <c r="C21">
        <v>0</v>
      </c>
      <c r="D21">
        <f t="shared" si="0"/>
        <v>0</v>
      </c>
    </row>
    <row r="22" spans="1:5" x14ac:dyDescent="0.25">
      <c r="A22">
        <v>1655</v>
      </c>
      <c r="B22">
        <v>276.1234</v>
      </c>
      <c r="C22">
        <v>0</v>
      </c>
      <c r="D22">
        <f t="shared" si="0"/>
        <v>0</v>
      </c>
    </row>
    <row r="23" spans="1:5" x14ac:dyDescent="0.25">
      <c r="A23">
        <v>1735</v>
      </c>
      <c r="B23">
        <v>276.25409999999999</v>
      </c>
      <c r="C23">
        <v>9.7996999999999996</v>
      </c>
      <c r="D23">
        <f t="shared" si="0"/>
        <v>9.8024999999992701</v>
      </c>
      <c r="E23">
        <f>C23/D23</f>
        <v>0.99971435858206881</v>
      </c>
    </row>
    <row r="24" spans="1:5" x14ac:dyDescent="0.25">
      <c r="A24">
        <v>1815</v>
      </c>
      <c r="B24">
        <v>276.5154</v>
      </c>
      <c r="C24">
        <v>19.599399999999999</v>
      </c>
      <c r="D24">
        <f t="shared" si="0"/>
        <v>19.597500000000423</v>
      </c>
      <c r="E24">
        <f t="shared" ref="E24:E87" si="1">C24/D24</f>
        <v>1.0000969511417057</v>
      </c>
    </row>
    <row r="25" spans="1:5" x14ac:dyDescent="0.25">
      <c r="A25">
        <v>1896</v>
      </c>
      <c r="B25">
        <v>276.7604</v>
      </c>
      <c r="C25">
        <v>18.374500000000001</v>
      </c>
      <c r="D25">
        <f t="shared" si="0"/>
        <v>18.148148148148483</v>
      </c>
      <c r="E25">
        <f t="shared" si="1"/>
        <v>1.0124724489795733</v>
      </c>
    </row>
    <row r="26" spans="1:5" x14ac:dyDescent="0.25">
      <c r="A26">
        <v>1976</v>
      </c>
      <c r="B26">
        <v>277.00540000000001</v>
      </c>
      <c r="C26">
        <v>18.374500000000001</v>
      </c>
      <c r="D26">
        <f t="shared" si="0"/>
        <v>18.375000000000341</v>
      </c>
      <c r="E26">
        <f t="shared" si="1"/>
        <v>0.99997278911562781</v>
      </c>
    </row>
    <row r="27" spans="1:5" x14ac:dyDescent="0.25">
      <c r="A27">
        <v>2057</v>
      </c>
      <c r="B27">
        <v>277.31569999999999</v>
      </c>
      <c r="C27">
        <v>23.2743</v>
      </c>
      <c r="D27">
        <f t="shared" si="0"/>
        <v>22.985185185183987</v>
      </c>
      <c r="E27">
        <f t="shared" si="1"/>
        <v>1.0125783113116866</v>
      </c>
    </row>
    <row r="28" spans="1:5" x14ac:dyDescent="0.25">
      <c r="A28">
        <v>2137</v>
      </c>
      <c r="B28">
        <v>277.577</v>
      </c>
      <c r="C28">
        <v>19.599399999999999</v>
      </c>
      <c r="D28">
        <f t="shared" si="0"/>
        <v>19.597500000000423</v>
      </c>
      <c r="E28">
        <f t="shared" si="1"/>
        <v>1.0000969511417057</v>
      </c>
    </row>
    <row r="29" spans="1:5" x14ac:dyDescent="0.25">
      <c r="A29">
        <v>2218</v>
      </c>
      <c r="B29">
        <v>277.8383</v>
      </c>
      <c r="C29">
        <v>19.599399999999999</v>
      </c>
      <c r="D29">
        <f t="shared" si="0"/>
        <v>19.355555555555974</v>
      </c>
      <c r="E29">
        <f t="shared" si="1"/>
        <v>1.012598163030977</v>
      </c>
    </row>
    <row r="30" spans="1:5" x14ac:dyDescent="0.25">
      <c r="A30">
        <v>2298</v>
      </c>
      <c r="B30">
        <v>278.08330000000001</v>
      </c>
      <c r="C30">
        <v>18.374500000000001</v>
      </c>
      <c r="D30">
        <f t="shared" si="0"/>
        <v>18.375000000000341</v>
      </c>
      <c r="E30">
        <f t="shared" si="1"/>
        <v>0.99997278911562781</v>
      </c>
    </row>
    <row r="31" spans="1:5" x14ac:dyDescent="0.25">
      <c r="A31">
        <v>2378</v>
      </c>
      <c r="B31">
        <v>278.37729999999999</v>
      </c>
      <c r="C31">
        <v>22.049399999999999</v>
      </c>
      <c r="D31">
        <f t="shared" si="0"/>
        <v>22.049999999998704</v>
      </c>
      <c r="E31">
        <f t="shared" si="1"/>
        <v>0.99997278911570497</v>
      </c>
    </row>
    <row r="32" spans="1:5" x14ac:dyDescent="0.25">
      <c r="A32">
        <v>2459</v>
      </c>
      <c r="B32">
        <v>278.67129999999997</v>
      </c>
      <c r="C32">
        <v>22.049399999999999</v>
      </c>
      <c r="D32">
        <f t="shared" si="0"/>
        <v>21.7777777777765</v>
      </c>
      <c r="E32">
        <f t="shared" si="1"/>
        <v>1.0124724489796513</v>
      </c>
    </row>
    <row r="33" spans="1:5" x14ac:dyDescent="0.25">
      <c r="A33">
        <v>2539</v>
      </c>
      <c r="B33">
        <v>278.94900000000001</v>
      </c>
      <c r="C33">
        <v>20.824400000000001</v>
      </c>
      <c r="D33">
        <f t="shared" si="0"/>
        <v>20.827500000002885</v>
      </c>
      <c r="E33">
        <f t="shared" si="1"/>
        <v>0.99985115832419236</v>
      </c>
    </row>
    <row r="34" spans="1:5" x14ac:dyDescent="0.25">
      <c r="A34">
        <v>2620</v>
      </c>
      <c r="B34">
        <v>279.19400000000002</v>
      </c>
      <c r="C34">
        <v>18.374500000000001</v>
      </c>
      <c r="D34">
        <f t="shared" si="0"/>
        <v>18.148148148148483</v>
      </c>
      <c r="E34">
        <f t="shared" si="1"/>
        <v>1.0124724489795733</v>
      </c>
    </row>
    <row r="35" spans="1:5" x14ac:dyDescent="0.25">
      <c r="A35">
        <v>2700</v>
      </c>
      <c r="B35">
        <v>279.45530000000002</v>
      </c>
      <c r="C35">
        <v>19.599399999999999</v>
      </c>
      <c r="D35">
        <f t="shared" si="0"/>
        <v>19.597500000000423</v>
      </c>
      <c r="E35">
        <f t="shared" si="1"/>
        <v>1.0000969511417057</v>
      </c>
    </row>
    <row r="36" spans="1:5" x14ac:dyDescent="0.25">
      <c r="A36">
        <v>2781</v>
      </c>
      <c r="B36">
        <v>279.76560000000001</v>
      </c>
      <c r="C36">
        <v>23.2743</v>
      </c>
      <c r="D36">
        <f t="shared" si="0"/>
        <v>22.985185185183987</v>
      </c>
      <c r="E36">
        <f t="shared" si="1"/>
        <v>1.0125783113116866</v>
      </c>
    </row>
    <row r="37" spans="1:5" x14ac:dyDescent="0.25">
      <c r="A37">
        <v>2861</v>
      </c>
      <c r="B37">
        <v>280.04329999999999</v>
      </c>
      <c r="C37">
        <v>20.824400000000001</v>
      </c>
      <c r="D37">
        <f t="shared" si="0"/>
        <v>20.827499999998622</v>
      </c>
      <c r="E37">
        <f t="shared" si="1"/>
        <v>0.99985115832439697</v>
      </c>
    </row>
    <row r="38" spans="1:5" x14ac:dyDescent="0.25">
      <c r="A38">
        <v>2942</v>
      </c>
      <c r="B38">
        <v>280.30459999999999</v>
      </c>
      <c r="C38">
        <v>19.599399999999999</v>
      </c>
      <c r="D38">
        <f t="shared" si="0"/>
        <v>19.355555555555974</v>
      </c>
      <c r="E38">
        <f t="shared" si="1"/>
        <v>1.012598163030977</v>
      </c>
    </row>
    <row r="39" spans="1:5" x14ac:dyDescent="0.25">
      <c r="A39">
        <v>3023</v>
      </c>
      <c r="B39">
        <v>280.5333</v>
      </c>
      <c r="C39">
        <v>17.1495</v>
      </c>
      <c r="D39">
        <f t="shared" si="0"/>
        <v>16.940740740740996</v>
      </c>
      <c r="E39">
        <f t="shared" si="1"/>
        <v>1.0123229121119217</v>
      </c>
    </row>
    <row r="40" spans="1:5" x14ac:dyDescent="0.25">
      <c r="A40">
        <v>3103</v>
      </c>
      <c r="B40">
        <v>280.82729999999998</v>
      </c>
      <c r="C40">
        <v>22.049399999999999</v>
      </c>
      <c r="D40">
        <f t="shared" si="0"/>
        <v>22.049999999998704</v>
      </c>
      <c r="E40">
        <f t="shared" si="1"/>
        <v>0.99997278911570497</v>
      </c>
    </row>
    <row r="41" spans="1:5" x14ac:dyDescent="0.25">
      <c r="A41">
        <v>3183</v>
      </c>
      <c r="B41">
        <v>281.13760000000002</v>
      </c>
      <c r="C41">
        <v>23.2743</v>
      </c>
      <c r="D41">
        <f t="shared" si="0"/>
        <v>23.272500000003049</v>
      </c>
      <c r="E41">
        <f t="shared" si="1"/>
        <v>1.0000773445051865</v>
      </c>
    </row>
    <row r="42" spans="1:5" x14ac:dyDescent="0.25">
      <c r="A42">
        <v>3264</v>
      </c>
      <c r="B42">
        <v>281.39890000000003</v>
      </c>
      <c r="C42">
        <v>19.599399999999999</v>
      </c>
      <c r="D42">
        <f t="shared" si="0"/>
        <v>19.355555555555974</v>
      </c>
      <c r="E42">
        <f t="shared" si="1"/>
        <v>1.012598163030977</v>
      </c>
    </row>
    <row r="43" spans="1:5" x14ac:dyDescent="0.25">
      <c r="A43">
        <v>3344</v>
      </c>
      <c r="B43">
        <v>281.64389999999997</v>
      </c>
      <c r="C43">
        <v>18.374500000000001</v>
      </c>
      <c r="D43">
        <f t="shared" si="0"/>
        <v>18.374999999996078</v>
      </c>
      <c r="E43">
        <f t="shared" si="1"/>
        <v>0.99997278911585974</v>
      </c>
    </row>
    <row r="44" spans="1:5" x14ac:dyDescent="0.25">
      <c r="A44">
        <v>3424</v>
      </c>
      <c r="B44">
        <v>281.88889999999998</v>
      </c>
      <c r="C44">
        <v>18.374500000000001</v>
      </c>
      <c r="D44">
        <f t="shared" si="0"/>
        <v>18.375000000000341</v>
      </c>
      <c r="E44">
        <f t="shared" si="1"/>
        <v>0.99997278911562781</v>
      </c>
    </row>
    <row r="45" spans="1:5" x14ac:dyDescent="0.25">
      <c r="A45">
        <v>3505</v>
      </c>
      <c r="B45">
        <v>282.19920000000002</v>
      </c>
      <c r="C45">
        <v>23.2743</v>
      </c>
      <c r="D45">
        <f t="shared" si="0"/>
        <v>22.985185185188197</v>
      </c>
      <c r="E45">
        <f t="shared" si="1"/>
        <v>1.0125783113115012</v>
      </c>
    </row>
    <row r="46" spans="1:5" x14ac:dyDescent="0.25">
      <c r="A46">
        <v>3586</v>
      </c>
      <c r="B46">
        <v>282.34620000000001</v>
      </c>
      <c r="C46">
        <v>11.024699999999999</v>
      </c>
      <c r="D46">
        <f t="shared" si="0"/>
        <v>10.88888888888825</v>
      </c>
      <c r="E46">
        <f t="shared" si="1"/>
        <v>1.0124724489796513</v>
      </c>
    </row>
    <row r="47" spans="1:5" x14ac:dyDescent="0.25">
      <c r="A47">
        <v>3666</v>
      </c>
      <c r="B47">
        <v>282.36250000000001</v>
      </c>
      <c r="C47">
        <v>1.2250000000000001</v>
      </c>
      <c r="D47">
        <f t="shared" si="0"/>
        <v>1.2225000000000819</v>
      </c>
      <c r="E47">
        <f t="shared" si="1"/>
        <v>1.0020449897749841</v>
      </c>
    </row>
    <row r="48" spans="1:5" x14ac:dyDescent="0.25">
      <c r="A48">
        <v>3746</v>
      </c>
      <c r="B48">
        <v>282.36250000000001</v>
      </c>
      <c r="C48">
        <v>0</v>
      </c>
      <c r="D48">
        <f t="shared" si="0"/>
        <v>0</v>
      </c>
    </row>
    <row r="49" spans="1:4" x14ac:dyDescent="0.25">
      <c r="A49">
        <v>3827</v>
      </c>
      <c r="B49">
        <v>282.36250000000001</v>
      </c>
      <c r="C49">
        <v>0</v>
      </c>
      <c r="D49">
        <f t="shared" si="0"/>
        <v>0</v>
      </c>
    </row>
    <row r="50" spans="1:4" x14ac:dyDescent="0.25">
      <c r="A50">
        <v>3907</v>
      </c>
      <c r="B50">
        <v>282.36250000000001</v>
      </c>
      <c r="C50">
        <v>0</v>
      </c>
      <c r="D50">
        <f t="shared" si="0"/>
        <v>0</v>
      </c>
    </row>
    <row r="51" spans="1:4" x14ac:dyDescent="0.25">
      <c r="A51">
        <v>3988</v>
      </c>
      <c r="B51">
        <v>282.36250000000001</v>
      </c>
      <c r="C51">
        <v>0</v>
      </c>
      <c r="D51">
        <f t="shared" si="0"/>
        <v>0</v>
      </c>
    </row>
    <row r="52" spans="1:4" x14ac:dyDescent="0.25">
      <c r="A52">
        <v>4068</v>
      </c>
      <c r="B52">
        <v>282.36250000000001</v>
      </c>
      <c r="C52">
        <v>0</v>
      </c>
      <c r="D52">
        <f t="shared" si="0"/>
        <v>0</v>
      </c>
    </row>
    <row r="53" spans="1:4" x14ac:dyDescent="0.25">
      <c r="A53">
        <v>4149</v>
      </c>
      <c r="B53">
        <v>282.36250000000001</v>
      </c>
      <c r="C53">
        <v>0</v>
      </c>
      <c r="D53">
        <f t="shared" si="0"/>
        <v>0</v>
      </c>
    </row>
    <row r="54" spans="1:4" x14ac:dyDescent="0.25">
      <c r="A54">
        <v>4229</v>
      </c>
      <c r="B54">
        <v>282.36250000000001</v>
      </c>
      <c r="C54">
        <v>0</v>
      </c>
      <c r="D54">
        <f t="shared" si="0"/>
        <v>0</v>
      </c>
    </row>
    <row r="55" spans="1:4" x14ac:dyDescent="0.25">
      <c r="A55">
        <v>4309</v>
      </c>
      <c r="B55">
        <v>282.36250000000001</v>
      </c>
      <c r="C55">
        <v>0</v>
      </c>
      <c r="D55">
        <f t="shared" si="0"/>
        <v>0</v>
      </c>
    </row>
    <row r="56" spans="1:4" x14ac:dyDescent="0.25">
      <c r="A56">
        <v>4390</v>
      </c>
      <c r="B56">
        <v>282.36250000000001</v>
      </c>
      <c r="C56">
        <v>0</v>
      </c>
      <c r="D56">
        <f t="shared" si="0"/>
        <v>0</v>
      </c>
    </row>
    <row r="57" spans="1:4" x14ac:dyDescent="0.25">
      <c r="A57">
        <v>4471</v>
      </c>
      <c r="B57">
        <v>282.36250000000001</v>
      </c>
      <c r="C57">
        <v>0</v>
      </c>
      <c r="D57">
        <f t="shared" si="0"/>
        <v>0</v>
      </c>
    </row>
    <row r="58" spans="1:4" x14ac:dyDescent="0.25">
      <c r="A58">
        <v>4551</v>
      </c>
      <c r="B58">
        <v>282.36250000000001</v>
      </c>
      <c r="C58">
        <v>0</v>
      </c>
      <c r="D58">
        <f t="shared" si="0"/>
        <v>0</v>
      </c>
    </row>
    <row r="59" spans="1:4" x14ac:dyDescent="0.25">
      <c r="A59">
        <v>4631</v>
      </c>
      <c r="B59">
        <v>282.36250000000001</v>
      </c>
      <c r="C59">
        <v>0</v>
      </c>
      <c r="D59">
        <f t="shared" si="0"/>
        <v>0</v>
      </c>
    </row>
    <row r="60" spans="1:4" x14ac:dyDescent="0.25">
      <c r="A60">
        <v>4712</v>
      </c>
      <c r="B60">
        <v>282.36250000000001</v>
      </c>
      <c r="C60">
        <v>0</v>
      </c>
      <c r="D60">
        <f t="shared" si="0"/>
        <v>0</v>
      </c>
    </row>
    <row r="61" spans="1:4" x14ac:dyDescent="0.25">
      <c r="A61">
        <v>4792</v>
      </c>
      <c r="B61">
        <v>282.36250000000001</v>
      </c>
      <c r="C61">
        <v>0</v>
      </c>
      <c r="D61">
        <f t="shared" si="0"/>
        <v>0</v>
      </c>
    </row>
    <row r="62" spans="1:4" x14ac:dyDescent="0.25">
      <c r="A62">
        <v>4873</v>
      </c>
      <c r="B62">
        <v>282.36250000000001</v>
      </c>
      <c r="C62">
        <v>0</v>
      </c>
      <c r="D62">
        <f t="shared" si="0"/>
        <v>0</v>
      </c>
    </row>
    <row r="63" spans="1:4" x14ac:dyDescent="0.25">
      <c r="A63">
        <v>4953</v>
      </c>
      <c r="B63">
        <v>282.36250000000001</v>
      </c>
      <c r="C63">
        <v>0</v>
      </c>
      <c r="D63">
        <f t="shared" si="0"/>
        <v>0</v>
      </c>
    </row>
    <row r="64" spans="1:4" x14ac:dyDescent="0.25">
      <c r="A64">
        <v>5034</v>
      </c>
      <c r="B64">
        <v>282.36250000000001</v>
      </c>
      <c r="C64">
        <v>0</v>
      </c>
      <c r="D64">
        <f t="shared" si="0"/>
        <v>0</v>
      </c>
    </row>
    <row r="65" spans="1:5" x14ac:dyDescent="0.25">
      <c r="A65">
        <v>5114</v>
      </c>
      <c r="B65">
        <v>282.36250000000001</v>
      </c>
      <c r="C65">
        <v>0</v>
      </c>
      <c r="D65">
        <f t="shared" si="0"/>
        <v>0</v>
      </c>
    </row>
    <row r="66" spans="1:5" x14ac:dyDescent="0.25">
      <c r="A66">
        <v>5195</v>
      </c>
      <c r="B66">
        <v>282.36250000000001</v>
      </c>
      <c r="C66">
        <v>0</v>
      </c>
      <c r="D66">
        <f t="shared" si="0"/>
        <v>0</v>
      </c>
    </row>
    <row r="67" spans="1:5" x14ac:dyDescent="0.25">
      <c r="A67">
        <v>5275</v>
      </c>
      <c r="B67">
        <v>282.36250000000001</v>
      </c>
      <c r="C67">
        <v>0</v>
      </c>
      <c r="D67">
        <f t="shared" si="0"/>
        <v>0</v>
      </c>
    </row>
    <row r="68" spans="1:5" x14ac:dyDescent="0.25">
      <c r="A68">
        <v>5355</v>
      </c>
      <c r="B68">
        <v>282.36250000000001</v>
      </c>
      <c r="C68">
        <v>0</v>
      </c>
      <c r="D68">
        <f t="shared" ref="D68:D103" si="2">(B68-B67)/(A68-A67)*$G$2</f>
        <v>0</v>
      </c>
    </row>
    <row r="69" spans="1:5" x14ac:dyDescent="0.25">
      <c r="A69">
        <v>5436</v>
      </c>
      <c r="B69">
        <v>282.36250000000001</v>
      </c>
      <c r="C69">
        <v>0</v>
      </c>
      <c r="D69">
        <f t="shared" si="2"/>
        <v>0</v>
      </c>
    </row>
    <row r="70" spans="1:5" x14ac:dyDescent="0.25">
      <c r="A70">
        <v>5516</v>
      </c>
      <c r="B70">
        <v>282.55849999999998</v>
      </c>
      <c r="C70">
        <v>14.6996</v>
      </c>
      <c r="D70">
        <f t="shared" si="2"/>
        <v>14.699999999997715</v>
      </c>
      <c r="E70">
        <f t="shared" si="1"/>
        <v>0.99997278911580167</v>
      </c>
    </row>
    <row r="71" spans="1:5" x14ac:dyDescent="0.25">
      <c r="A71">
        <v>5597</v>
      </c>
      <c r="B71">
        <v>282.80349999999999</v>
      </c>
      <c r="C71">
        <v>18.374500000000001</v>
      </c>
      <c r="D71">
        <f t="shared" si="2"/>
        <v>18.148148148148483</v>
      </c>
      <c r="E71">
        <f t="shared" si="1"/>
        <v>1.0124724489795733</v>
      </c>
    </row>
    <row r="72" spans="1:5" x14ac:dyDescent="0.25">
      <c r="A72">
        <v>5677</v>
      </c>
      <c r="B72">
        <v>283.1139</v>
      </c>
      <c r="C72">
        <v>23.2743</v>
      </c>
      <c r="D72">
        <f t="shared" si="2"/>
        <v>23.280000000001166</v>
      </c>
      <c r="E72">
        <f t="shared" si="1"/>
        <v>0.99975515463912512</v>
      </c>
    </row>
    <row r="73" spans="1:5" x14ac:dyDescent="0.25">
      <c r="A73">
        <v>5758</v>
      </c>
      <c r="B73">
        <v>283.40789999999998</v>
      </c>
      <c r="C73">
        <v>22.049399999999999</v>
      </c>
      <c r="D73">
        <f t="shared" si="2"/>
        <v>21.7777777777765</v>
      </c>
      <c r="E73">
        <f t="shared" si="1"/>
        <v>1.0124724489796513</v>
      </c>
    </row>
    <row r="74" spans="1:5" x14ac:dyDescent="0.25">
      <c r="A74">
        <v>5838</v>
      </c>
      <c r="B74">
        <v>283.65280000000001</v>
      </c>
      <c r="C74">
        <v>18.374500000000001</v>
      </c>
      <c r="D74">
        <f t="shared" si="2"/>
        <v>18.367500000002224</v>
      </c>
      <c r="E74">
        <f t="shared" si="1"/>
        <v>1.0003811079350906</v>
      </c>
    </row>
    <row r="75" spans="1:5" x14ac:dyDescent="0.25">
      <c r="A75">
        <v>5919</v>
      </c>
      <c r="B75">
        <v>283.89780000000002</v>
      </c>
      <c r="C75">
        <v>18.374500000000001</v>
      </c>
      <c r="D75">
        <f t="shared" si="2"/>
        <v>18.148148148148483</v>
      </c>
      <c r="E75">
        <f t="shared" si="1"/>
        <v>1.0124724489795733</v>
      </c>
    </row>
    <row r="76" spans="1:5" x14ac:dyDescent="0.25">
      <c r="A76">
        <v>5999</v>
      </c>
      <c r="B76">
        <v>284.1755</v>
      </c>
      <c r="C76">
        <v>20.824400000000001</v>
      </c>
      <c r="D76">
        <f t="shared" si="2"/>
        <v>20.827499999998622</v>
      </c>
      <c r="E76">
        <f t="shared" si="1"/>
        <v>0.99985115832439697</v>
      </c>
    </row>
    <row r="77" spans="1:5" x14ac:dyDescent="0.25">
      <c r="A77">
        <v>6080</v>
      </c>
      <c r="B77">
        <v>284.48579999999998</v>
      </c>
      <c r="C77">
        <v>23.2743</v>
      </c>
      <c r="D77">
        <f t="shared" si="2"/>
        <v>22.985185185183987</v>
      </c>
      <c r="E77">
        <f t="shared" si="1"/>
        <v>1.0125783113116866</v>
      </c>
    </row>
    <row r="78" spans="1:5" x14ac:dyDescent="0.25">
      <c r="A78">
        <v>6160</v>
      </c>
      <c r="B78">
        <v>284.76350000000002</v>
      </c>
      <c r="C78">
        <v>20.824400000000001</v>
      </c>
      <c r="D78">
        <f t="shared" si="2"/>
        <v>20.827500000002885</v>
      </c>
      <c r="E78">
        <f t="shared" si="1"/>
        <v>0.99985115832419236</v>
      </c>
    </row>
    <row r="79" spans="1:5" x14ac:dyDescent="0.25">
      <c r="A79">
        <v>6241</v>
      </c>
      <c r="B79">
        <v>285.00850000000003</v>
      </c>
      <c r="C79">
        <v>18.374500000000001</v>
      </c>
      <c r="D79">
        <f t="shared" si="2"/>
        <v>18.148148148148483</v>
      </c>
      <c r="E79">
        <f t="shared" si="1"/>
        <v>1.0124724489795733</v>
      </c>
    </row>
    <row r="80" spans="1:5" x14ac:dyDescent="0.25">
      <c r="A80">
        <v>6321</v>
      </c>
      <c r="B80">
        <v>285.2371</v>
      </c>
      <c r="C80">
        <v>17.1495</v>
      </c>
      <c r="D80">
        <f t="shared" si="2"/>
        <v>17.144999999997879</v>
      </c>
      <c r="E80">
        <f t="shared" si="1"/>
        <v>1.0002624671917248</v>
      </c>
    </row>
    <row r="81" spans="1:5" x14ac:dyDescent="0.25">
      <c r="A81">
        <v>6402</v>
      </c>
      <c r="B81">
        <v>285.54750000000001</v>
      </c>
      <c r="C81">
        <v>23.2743</v>
      </c>
      <c r="D81">
        <f t="shared" si="2"/>
        <v>22.992592592593745</v>
      </c>
      <c r="E81">
        <f t="shared" si="1"/>
        <v>1.0122520940721143</v>
      </c>
    </row>
    <row r="82" spans="1:5" x14ac:dyDescent="0.25">
      <c r="A82">
        <v>6482</v>
      </c>
      <c r="B82">
        <v>285.82510000000002</v>
      </c>
      <c r="C82">
        <v>20.824400000000001</v>
      </c>
      <c r="D82">
        <f t="shared" si="2"/>
        <v>20.820000000000505</v>
      </c>
      <c r="E82">
        <f t="shared" si="1"/>
        <v>1.0002113352545388</v>
      </c>
    </row>
    <row r="83" spans="1:5" x14ac:dyDescent="0.25">
      <c r="A83">
        <v>6563</v>
      </c>
      <c r="B83">
        <v>286.08640000000003</v>
      </c>
      <c r="C83">
        <v>19.599399999999999</v>
      </c>
      <c r="D83">
        <f t="shared" si="2"/>
        <v>19.355555555555974</v>
      </c>
      <c r="E83">
        <f t="shared" si="1"/>
        <v>1.012598163030977</v>
      </c>
    </row>
    <row r="84" spans="1:5" x14ac:dyDescent="0.25">
      <c r="A84">
        <v>6643</v>
      </c>
      <c r="B84">
        <v>286.33139999999997</v>
      </c>
      <c r="C84">
        <v>18.374500000000001</v>
      </c>
      <c r="D84">
        <f t="shared" si="2"/>
        <v>18.374999999996078</v>
      </c>
      <c r="E84">
        <f t="shared" si="1"/>
        <v>0.99997278911585974</v>
      </c>
    </row>
    <row r="85" spans="1:5" x14ac:dyDescent="0.25">
      <c r="A85">
        <v>6723</v>
      </c>
      <c r="B85">
        <v>286.60910000000001</v>
      </c>
      <c r="C85">
        <v>20.824400000000001</v>
      </c>
      <c r="D85">
        <f t="shared" si="2"/>
        <v>20.827500000002885</v>
      </c>
      <c r="E85">
        <f t="shared" si="1"/>
        <v>0.99985115832419236</v>
      </c>
    </row>
    <row r="86" spans="1:5" x14ac:dyDescent="0.25">
      <c r="A86">
        <v>6804</v>
      </c>
      <c r="B86">
        <v>286.9194</v>
      </c>
      <c r="C86">
        <v>23.2743</v>
      </c>
      <c r="D86">
        <f t="shared" si="2"/>
        <v>22.985185185183987</v>
      </c>
      <c r="E86">
        <f t="shared" si="1"/>
        <v>1.0125783113116866</v>
      </c>
    </row>
    <row r="87" spans="1:5" x14ac:dyDescent="0.25">
      <c r="A87">
        <v>6884</v>
      </c>
      <c r="B87">
        <v>287.19709999999998</v>
      </c>
      <c r="C87">
        <v>20.824400000000001</v>
      </c>
      <c r="D87">
        <f t="shared" si="2"/>
        <v>20.827499999998622</v>
      </c>
      <c r="E87">
        <f t="shared" si="1"/>
        <v>0.99985115832439697</v>
      </c>
    </row>
    <row r="88" spans="1:5" x14ac:dyDescent="0.25">
      <c r="A88">
        <v>6965</v>
      </c>
      <c r="B88">
        <v>287.44209999999998</v>
      </c>
      <c r="C88">
        <v>18.374500000000001</v>
      </c>
      <c r="D88">
        <f t="shared" si="2"/>
        <v>18.148148148148483</v>
      </c>
      <c r="E88">
        <f t="shared" ref="E88:E98" si="3">C88/D88</f>
        <v>1.0124724489795733</v>
      </c>
    </row>
    <row r="89" spans="1:5" x14ac:dyDescent="0.25">
      <c r="A89">
        <v>7045</v>
      </c>
      <c r="B89">
        <v>287.68709999999999</v>
      </c>
      <c r="C89">
        <v>18.374500000000001</v>
      </c>
      <c r="D89">
        <f t="shared" si="2"/>
        <v>18.375000000000341</v>
      </c>
      <c r="E89">
        <f t="shared" si="3"/>
        <v>0.99997278911562781</v>
      </c>
    </row>
    <row r="90" spans="1:5" x14ac:dyDescent="0.25">
      <c r="A90">
        <v>7126</v>
      </c>
      <c r="B90">
        <v>287.99740000000003</v>
      </c>
      <c r="C90">
        <v>23.2743</v>
      </c>
      <c r="D90">
        <f t="shared" si="2"/>
        <v>22.985185185188197</v>
      </c>
      <c r="E90">
        <f t="shared" si="3"/>
        <v>1.0125783113115012</v>
      </c>
    </row>
    <row r="91" spans="1:5" x14ac:dyDescent="0.25">
      <c r="A91">
        <v>7237</v>
      </c>
      <c r="B91">
        <v>288.29140000000001</v>
      </c>
      <c r="C91">
        <v>22.049399999999999</v>
      </c>
      <c r="D91">
        <f t="shared" si="2"/>
        <v>15.891891891890959</v>
      </c>
      <c r="E91">
        <f t="shared" si="3"/>
        <v>1.3874622448980405</v>
      </c>
    </row>
    <row r="92" spans="1:5" x14ac:dyDescent="0.25">
      <c r="A92">
        <v>7287</v>
      </c>
      <c r="B92">
        <v>288.55270000000002</v>
      </c>
      <c r="C92">
        <v>19.599399999999999</v>
      </c>
      <c r="D92">
        <f t="shared" si="2"/>
        <v>31.356000000000677</v>
      </c>
      <c r="E92">
        <f t="shared" si="3"/>
        <v>0.62506059446356599</v>
      </c>
    </row>
    <row r="93" spans="1:5" x14ac:dyDescent="0.25">
      <c r="A93">
        <v>7367</v>
      </c>
      <c r="B93">
        <v>288.79770000000002</v>
      </c>
      <c r="C93">
        <v>18.374500000000001</v>
      </c>
      <c r="D93">
        <f t="shared" si="2"/>
        <v>18.375000000000341</v>
      </c>
      <c r="E93">
        <f t="shared" si="3"/>
        <v>0.99997278911562781</v>
      </c>
    </row>
    <row r="94" spans="1:5" x14ac:dyDescent="0.25">
      <c r="A94">
        <v>7448</v>
      </c>
      <c r="B94">
        <v>289.05900000000003</v>
      </c>
      <c r="C94">
        <v>19.599399999999999</v>
      </c>
      <c r="D94">
        <f t="shared" si="2"/>
        <v>19.355555555555974</v>
      </c>
      <c r="E94">
        <f t="shared" si="3"/>
        <v>1.012598163030977</v>
      </c>
    </row>
    <row r="95" spans="1:5" x14ac:dyDescent="0.25">
      <c r="A95">
        <v>7528</v>
      </c>
      <c r="B95">
        <v>289.35300000000001</v>
      </c>
      <c r="C95">
        <v>22.049399999999999</v>
      </c>
      <c r="D95">
        <f t="shared" si="2"/>
        <v>22.049999999998704</v>
      </c>
      <c r="E95">
        <f t="shared" si="3"/>
        <v>0.99997278911570497</v>
      </c>
    </row>
    <row r="96" spans="1:5" x14ac:dyDescent="0.25">
      <c r="A96">
        <v>7609</v>
      </c>
      <c r="B96">
        <v>289.63069999999999</v>
      </c>
      <c r="C96">
        <v>20.824400000000001</v>
      </c>
      <c r="D96">
        <f t="shared" si="2"/>
        <v>20.570370370369012</v>
      </c>
      <c r="E96">
        <f t="shared" si="3"/>
        <v>1.0123492978034518</v>
      </c>
    </row>
    <row r="97" spans="1:5" x14ac:dyDescent="0.25">
      <c r="A97">
        <v>7689</v>
      </c>
      <c r="B97">
        <v>289.77769999999998</v>
      </c>
      <c r="C97">
        <v>11.024699999999999</v>
      </c>
      <c r="D97">
        <f t="shared" si="2"/>
        <v>11.024999999999352</v>
      </c>
      <c r="E97">
        <f t="shared" si="3"/>
        <v>0.99997278911570497</v>
      </c>
    </row>
    <row r="98" spans="1:5" x14ac:dyDescent="0.25">
      <c r="A98">
        <v>7769</v>
      </c>
      <c r="B98">
        <v>289.81029999999998</v>
      </c>
      <c r="C98">
        <v>2.4499</v>
      </c>
      <c r="D98">
        <f t="shared" si="2"/>
        <v>2.4450000000001637</v>
      </c>
      <c r="E98">
        <f t="shared" si="3"/>
        <v>1.0020040899794831</v>
      </c>
    </row>
    <row r="99" spans="1:5" x14ac:dyDescent="0.25">
      <c r="A99">
        <v>7850</v>
      </c>
      <c r="B99">
        <v>289.81029999999998</v>
      </c>
      <c r="C99">
        <v>0</v>
      </c>
      <c r="D99">
        <f t="shared" si="2"/>
        <v>0</v>
      </c>
    </row>
    <row r="100" spans="1:5" x14ac:dyDescent="0.25">
      <c r="A100">
        <v>7930</v>
      </c>
      <c r="B100">
        <v>289.81029999999998</v>
      </c>
      <c r="C100">
        <v>0</v>
      </c>
      <c r="D100">
        <f t="shared" si="2"/>
        <v>0</v>
      </c>
    </row>
    <row r="101" spans="1:5" x14ac:dyDescent="0.25">
      <c r="A101">
        <v>8011</v>
      </c>
      <c r="B101">
        <v>289.81029999999998</v>
      </c>
      <c r="C101">
        <v>0</v>
      </c>
      <c r="D101">
        <f t="shared" si="2"/>
        <v>0</v>
      </c>
    </row>
    <row r="102" spans="1:5" x14ac:dyDescent="0.25">
      <c r="A102">
        <v>8091</v>
      </c>
      <c r="B102">
        <v>289.81029999999998</v>
      </c>
      <c r="C102">
        <v>0</v>
      </c>
      <c r="D102">
        <f t="shared" si="2"/>
        <v>0</v>
      </c>
    </row>
    <row r="103" spans="1:5" x14ac:dyDescent="0.25">
      <c r="A103">
        <v>8172</v>
      </c>
      <c r="B103">
        <v>289.81029999999998</v>
      </c>
      <c r="C103">
        <v>0</v>
      </c>
      <c r="D103">
        <f t="shared" si="2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step25 (2)</vt:lpstr>
      <vt:lpstr>step25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conoron@student.ubc.ca</cp:lastModifiedBy>
  <dcterms:created xsi:type="dcterms:W3CDTF">2026-01-29T22:09:28Z</dcterms:created>
  <dcterms:modified xsi:type="dcterms:W3CDTF">2026-01-29T23:03:23Z</dcterms:modified>
</cp:coreProperties>
</file>