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tr\Documents\GitHub\Mech-421-3-Final-Project\Labs\Lab 6 Code\C#\MECH423Lab6Ex3\"/>
    </mc:Choice>
  </mc:AlternateContent>
  <xr:revisionPtr revIDLastSave="0" documentId="13_ncr:9_{2E4BFCD8-6C6E-4D7B-83C3-8E0D6F297CBE}" xr6:coauthVersionLast="47" xr6:coauthVersionMax="47" xr10:uidLastSave="{00000000-0000-0000-0000-000000000000}"/>
  <bookViews>
    <workbookView xWindow="-120" yWindow="-120" windowWidth="29040" windowHeight="15720" xr2:uid="{58FD0829-E336-442E-9000-1941EF3119EE}"/>
  </bookViews>
  <sheets>
    <sheet name="step50" sheetId="1" r:id="rId1"/>
  </sheets>
  <calcPr calcId="0"/>
</workbook>
</file>

<file path=xl/calcChain.xml><?xml version="1.0" encoding="utf-8"?>
<calcChain xmlns="http://schemas.openxmlformats.org/spreadsheetml/2006/main">
  <c r="E58" i="1" l="1"/>
  <c r="E59" i="1"/>
  <c r="E64" i="1"/>
  <c r="E74" i="1"/>
  <c r="E75" i="1"/>
  <c r="E80" i="1"/>
  <c r="E10" i="1"/>
  <c r="D4" i="1"/>
  <c r="D5" i="1"/>
  <c r="D6" i="1"/>
  <c r="D7" i="1"/>
  <c r="D8" i="1"/>
  <c r="D9" i="1"/>
  <c r="D10" i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E57" i="1" s="1"/>
  <c r="D58" i="1"/>
  <c r="D59" i="1"/>
  <c r="D60" i="1"/>
  <c r="E60" i="1" s="1"/>
  <c r="D61" i="1"/>
  <c r="E61" i="1" s="1"/>
  <c r="D62" i="1"/>
  <c r="E62" i="1" s="1"/>
  <c r="D63" i="1"/>
  <c r="E63" i="1" s="1"/>
  <c r="D64" i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D75" i="1"/>
  <c r="D76" i="1"/>
  <c r="E76" i="1" s="1"/>
  <c r="D77" i="1"/>
  <c r="E77" i="1" s="1"/>
  <c r="D78" i="1"/>
  <c r="E78" i="1" s="1"/>
  <c r="D79" i="1"/>
  <c r="E79" i="1" s="1"/>
  <c r="D80" i="1"/>
  <c r="D81" i="1"/>
  <c r="E81" i="1" s="1"/>
  <c r="D82" i="1"/>
  <c r="E82" i="1" s="1"/>
  <c r="D83" i="1"/>
  <c r="E83" i="1" s="1"/>
  <c r="D84" i="1"/>
  <c r="E84" i="1" s="1"/>
  <c r="D85" i="1"/>
  <c r="D86" i="1"/>
  <c r="D3" i="1"/>
  <c r="F2" i="1" l="1"/>
</calcChain>
</file>

<file path=xl/sharedStrings.xml><?xml version="1.0" encoding="utf-8"?>
<sst xmlns="http://schemas.openxmlformats.org/spreadsheetml/2006/main" count="3" uniqueCount="3">
  <si>
    <t>Time_ms</t>
  </si>
  <si>
    <t>Position_cm</t>
  </si>
  <si>
    <t>Velocity_RPM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</si>
</sst>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step50!$A$1:$A$38</c:f>
              <c:strCache>
                <c:ptCount val="38"/>
                <c:pt idx="0">
                  <c:v>Time_ms</c:v>
                </c:pt>
                <c:pt idx="1">
                  <c:v>49</c:v>
                </c:pt>
                <c:pt idx="2">
                  <c:v>129</c:v>
                </c:pt>
                <c:pt idx="3">
                  <c:v>210</c:v>
                </c:pt>
                <c:pt idx="4">
                  <c:v>290</c:v>
                </c:pt>
                <c:pt idx="5">
                  <c:v>370</c:v>
                </c:pt>
                <c:pt idx="6">
                  <c:v>451</c:v>
                </c:pt>
                <c:pt idx="7">
                  <c:v>531</c:v>
                </c:pt>
                <c:pt idx="8">
                  <c:v>612</c:v>
                </c:pt>
                <c:pt idx="9">
                  <c:v>692</c:v>
                </c:pt>
                <c:pt idx="10">
                  <c:v>773</c:v>
                </c:pt>
                <c:pt idx="11">
                  <c:v>853</c:v>
                </c:pt>
                <c:pt idx="12">
                  <c:v>934</c:v>
                </c:pt>
                <c:pt idx="13">
                  <c:v>1014</c:v>
                </c:pt>
                <c:pt idx="14">
                  <c:v>1094</c:v>
                </c:pt>
                <c:pt idx="15">
                  <c:v>1175</c:v>
                </c:pt>
                <c:pt idx="16">
                  <c:v>1256</c:v>
                </c:pt>
                <c:pt idx="17">
                  <c:v>1336</c:v>
                </c:pt>
                <c:pt idx="18">
                  <c:v>1416</c:v>
                </c:pt>
                <c:pt idx="19">
                  <c:v>1497</c:v>
                </c:pt>
                <c:pt idx="20">
                  <c:v>1577</c:v>
                </c:pt>
                <c:pt idx="21">
                  <c:v>1658</c:v>
                </c:pt>
                <c:pt idx="22">
                  <c:v>1738</c:v>
                </c:pt>
                <c:pt idx="23">
                  <c:v>1818</c:v>
                </c:pt>
                <c:pt idx="24">
                  <c:v>1899</c:v>
                </c:pt>
                <c:pt idx="25">
                  <c:v>1980</c:v>
                </c:pt>
                <c:pt idx="26">
                  <c:v>2060</c:v>
                </c:pt>
                <c:pt idx="27">
                  <c:v>2140</c:v>
                </c:pt>
                <c:pt idx="28">
                  <c:v>2221</c:v>
                </c:pt>
                <c:pt idx="29">
                  <c:v>2301</c:v>
                </c:pt>
                <c:pt idx="30">
                  <c:v>2382</c:v>
                </c:pt>
                <c:pt idx="31">
                  <c:v>2462</c:v>
                </c:pt>
                <c:pt idx="32">
                  <c:v>2542</c:v>
                </c:pt>
                <c:pt idx="33">
                  <c:v>2623</c:v>
                </c:pt>
                <c:pt idx="34">
                  <c:v>2703</c:v>
                </c:pt>
                <c:pt idx="35">
                  <c:v>2784</c:v>
                </c:pt>
                <c:pt idx="36">
                  <c:v>2864</c:v>
                </c:pt>
                <c:pt idx="37">
                  <c:v>2945</c:v>
                </c:pt>
              </c:strCache>
            </c:strRef>
          </c:xVal>
          <c:yVal>
            <c:numRef>
              <c:f>step50!$D$1:$D$38</c:f>
              <c:numCache>
                <c:formatCode>General</c:formatCode>
                <c:ptCount val="38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4.9050000000008254</c:v>
                </c:pt>
                <c:pt idx="10">
                  <c:v>43.548148148147448</c:v>
                </c:pt>
                <c:pt idx="11">
                  <c:v>46.552499999999952</c:v>
                </c:pt>
                <c:pt idx="12">
                  <c:v>42.34074074073996</c:v>
                </c:pt>
                <c:pt idx="13">
                  <c:v>42.877500000001589</c:v>
                </c:pt>
                <c:pt idx="14">
                  <c:v>45.322500000001753</c:v>
                </c:pt>
                <c:pt idx="15">
                  <c:v>48.392592592592706</c:v>
                </c:pt>
                <c:pt idx="16">
                  <c:v>44.762962962960479</c:v>
                </c:pt>
                <c:pt idx="17">
                  <c:v>41.655000000001507</c:v>
                </c:pt>
                <c:pt idx="18">
                  <c:v>44.092499999999291</c:v>
                </c:pt>
                <c:pt idx="19">
                  <c:v>47.185185185185219</c:v>
                </c:pt>
                <c:pt idx="20">
                  <c:v>46.552499999999952</c:v>
                </c:pt>
                <c:pt idx="21">
                  <c:v>43.555555555557206</c:v>
                </c:pt>
                <c:pt idx="22">
                  <c:v>41.647499999999127</c:v>
                </c:pt>
                <c:pt idx="23">
                  <c:v>46.544999999997572</c:v>
                </c:pt>
                <c:pt idx="24">
                  <c:v>48.392592592592706</c:v>
                </c:pt>
                <c:pt idx="25">
                  <c:v>44.770370370370244</c:v>
                </c:pt>
                <c:pt idx="26">
                  <c:v>41.64750000000339</c:v>
                </c:pt>
                <c:pt idx="27">
                  <c:v>44.099999999997408</c:v>
                </c:pt>
                <c:pt idx="28">
                  <c:v>47.177777777779667</c:v>
                </c:pt>
                <c:pt idx="29">
                  <c:v>46.552499999999952</c:v>
                </c:pt>
                <c:pt idx="30">
                  <c:v>43.555555555552999</c:v>
                </c:pt>
                <c:pt idx="31">
                  <c:v>53.895000000002824</c:v>
                </c:pt>
                <c:pt idx="32">
                  <c:v>55.12500000000103</c:v>
                </c:pt>
                <c:pt idx="33">
                  <c:v>41.133333333332473</c:v>
                </c:pt>
                <c:pt idx="34">
                  <c:v>31.852499999997978</c:v>
                </c:pt>
                <c:pt idx="35">
                  <c:v>20.562962962963461</c:v>
                </c:pt>
                <c:pt idx="36">
                  <c:v>9.8024999999992701</c:v>
                </c:pt>
                <c:pt idx="37">
                  <c:v>2.4222222222247352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4-41D7-AAF8-6A3EE9FC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315711"/>
        <c:axId val="649579632"/>
      </c:scatterChart>
      <c:valAx>
        <c:axId val="129131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79632"/>
        <c:crosses val="autoZero"/>
        <c:crossBetween val="midCat"/>
      </c:valAx>
      <c:valAx>
        <c:axId val="6495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1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4</xdr:row>
      <xdr:rowOff>52387</xdr:rowOff>
    </xdr:from>
    <xdr:to>
      <xdr:col>16</xdr:col>
      <xdr:colOff>295275</xdr:colOff>
      <xdr:row>18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FE1D1-9D7B-BA0C-612B-D2A311B22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195C-D415-41CF-87CD-4E13E0173A3E}">
  <dimension ref="A1:G86"/>
  <sheetViews>
    <sheetView tabSelected="1" workbookViewId="0">
      <selection activeCell="T14" sqref="T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49</v>
      </c>
      <c r="B2">
        <v>289.81029999999998</v>
      </c>
      <c r="C2">
        <v>0</v>
      </c>
      <c r="F2">
        <f>AVERAGE(E10:E38)</f>
        <v>1.0055268649530407</v>
      </c>
      <c r="G2">
        <v>6000</v>
      </c>
    </row>
    <row r="3" spans="1:7" x14ac:dyDescent="0.25">
      <c r="A3">
        <v>129</v>
      </c>
      <c r="B3">
        <v>289.81029999999998</v>
      </c>
      <c r="C3">
        <v>0</v>
      </c>
      <c r="D3">
        <f>(B3-B2)/(A3-A2)*$G$2</f>
        <v>0</v>
      </c>
    </row>
    <row r="4" spans="1:7" x14ac:dyDescent="0.25">
      <c r="A4">
        <v>210</v>
      </c>
      <c r="B4">
        <v>289.81029999999998</v>
      </c>
      <c r="C4">
        <v>0</v>
      </c>
      <c r="D4">
        <f t="shared" ref="D4:D67" si="0">(B4-B3)/(A4-A3)*$G$2</f>
        <v>0</v>
      </c>
    </row>
    <row r="5" spans="1:7" x14ac:dyDescent="0.25">
      <c r="A5">
        <v>290</v>
      </c>
      <c r="B5">
        <v>289.81029999999998</v>
      </c>
      <c r="C5">
        <v>0</v>
      </c>
      <c r="D5">
        <f t="shared" si="0"/>
        <v>0</v>
      </c>
    </row>
    <row r="6" spans="1:7" x14ac:dyDescent="0.25">
      <c r="A6">
        <v>370</v>
      </c>
      <c r="B6">
        <v>289.81029999999998</v>
      </c>
      <c r="C6">
        <v>0</v>
      </c>
      <c r="D6">
        <f t="shared" si="0"/>
        <v>0</v>
      </c>
    </row>
    <row r="7" spans="1:7" x14ac:dyDescent="0.25">
      <c r="A7">
        <v>451</v>
      </c>
      <c r="B7">
        <v>289.81029999999998</v>
      </c>
      <c r="C7">
        <v>0</v>
      </c>
      <c r="D7">
        <f t="shared" si="0"/>
        <v>0</v>
      </c>
    </row>
    <row r="8" spans="1:7" x14ac:dyDescent="0.25">
      <c r="A8">
        <v>531</v>
      </c>
      <c r="B8">
        <v>289.81029999999998</v>
      </c>
      <c r="C8">
        <v>0</v>
      </c>
      <c r="D8">
        <f t="shared" si="0"/>
        <v>0</v>
      </c>
    </row>
    <row r="9" spans="1:7" x14ac:dyDescent="0.25">
      <c r="A9">
        <v>612</v>
      </c>
      <c r="B9">
        <v>289.81029999999998</v>
      </c>
      <c r="C9">
        <v>0</v>
      </c>
      <c r="D9">
        <f t="shared" si="0"/>
        <v>0</v>
      </c>
    </row>
    <row r="10" spans="1:7" x14ac:dyDescent="0.25">
      <c r="A10">
        <v>692</v>
      </c>
      <c r="B10">
        <v>289.87569999999999</v>
      </c>
      <c r="C10">
        <v>4.8998999999999997</v>
      </c>
      <c r="D10">
        <f t="shared" si="0"/>
        <v>4.9050000000008254</v>
      </c>
      <c r="E10">
        <f>C10/D10</f>
        <v>0.99896024464814992</v>
      </c>
    </row>
    <row r="11" spans="1:7" x14ac:dyDescent="0.25">
      <c r="A11">
        <v>773</v>
      </c>
      <c r="B11">
        <v>290.46359999999999</v>
      </c>
      <c r="C11">
        <v>44.098700000000001</v>
      </c>
      <c r="D11">
        <f t="shared" si="0"/>
        <v>43.548148148147448</v>
      </c>
      <c r="E11">
        <f t="shared" ref="E11:E74" si="1">C11/D11</f>
        <v>1.0126423711515726</v>
      </c>
    </row>
    <row r="12" spans="1:7" x14ac:dyDescent="0.25">
      <c r="A12">
        <v>853</v>
      </c>
      <c r="B12">
        <v>291.08429999999998</v>
      </c>
      <c r="C12">
        <v>46.548699999999997</v>
      </c>
      <c r="D12">
        <f t="shared" si="0"/>
        <v>46.552499999999952</v>
      </c>
      <c r="E12">
        <f t="shared" si="1"/>
        <v>0.99991837173084253</v>
      </c>
    </row>
    <row r="13" spans="1:7" x14ac:dyDescent="0.25">
      <c r="A13">
        <v>934</v>
      </c>
      <c r="B13">
        <v>291.65589999999997</v>
      </c>
      <c r="C13">
        <v>42.873800000000003</v>
      </c>
      <c r="D13">
        <f t="shared" si="0"/>
        <v>42.34074074073996</v>
      </c>
      <c r="E13">
        <f t="shared" si="1"/>
        <v>1.0125897480755961</v>
      </c>
    </row>
    <row r="14" spans="1:7" x14ac:dyDescent="0.25">
      <c r="A14">
        <v>1014</v>
      </c>
      <c r="B14">
        <v>292.2276</v>
      </c>
      <c r="C14">
        <v>42.873800000000003</v>
      </c>
      <c r="D14">
        <f t="shared" si="0"/>
        <v>42.877500000001589</v>
      </c>
      <c r="E14">
        <f t="shared" si="1"/>
        <v>0.99991370765549326</v>
      </c>
    </row>
    <row r="15" spans="1:7" x14ac:dyDescent="0.25">
      <c r="A15">
        <v>1094</v>
      </c>
      <c r="B15">
        <v>292.83190000000002</v>
      </c>
      <c r="C15">
        <v>45.323700000000002</v>
      </c>
      <c r="D15">
        <f t="shared" si="0"/>
        <v>45.322500000001753</v>
      </c>
      <c r="E15">
        <f t="shared" si="1"/>
        <v>1.0000264769154008</v>
      </c>
    </row>
    <row r="16" spans="1:7" x14ac:dyDescent="0.25">
      <c r="A16">
        <v>1175</v>
      </c>
      <c r="B16">
        <v>293.48520000000002</v>
      </c>
      <c r="C16">
        <v>48.998600000000003</v>
      </c>
      <c r="D16">
        <f t="shared" si="0"/>
        <v>48.392592592592706</v>
      </c>
      <c r="E16">
        <f t="shared" si="1"/>
        <v>1.0125227307515667</v>
      </c>
    </row>
    <row r="17" spans="1:5" x14ac:dyDescent="0.25">
      <c r="A17">
        <v>1256</v>
      </c>
      <c r="B17">
        <v>294.08949999999999</v>
      </c>
      <c r="C17">
        <v>45.323700000000002</v>
      </c>
      <c r="D17">
        <f t="shared" si="0"/>
        <v>44.762962962960479</v>
      </c>
      <c r="E17">
        <f t="shared" si="1"/>
        <v>1.0125268078769385</v>
      </c>
    </row>
    <row r="18" spans="1:5" x14ac:dyDescent="0.25">
      <c r="A18">
        <v>1336</v>
      </c>
      <c r="B18">
        <v>294.64490000000001</v>
      </c>
      <c r="C18">
        <v>41.648800000000001</v>
      </c>
      <c r="D18">
        <f t="shared" si="0"/>
        <v>41.655000000001507</v>
      </c>
      <c r="E18">
        <f t="shared" si="1"/>
        <v>0.99985115832429461</v>
      </c>
    </row>
    <row r="19" spans="1:5" x14ac:dyDescent="0.25">
      <c r="A19">
        <v>1416</v>
      </c>
      <c r="B19">
        <v>295.2328</v>
      </c>
      <c r="C19">
        <v>44.098700000000001</v>
      </c>
      <c r="D19">
        <f t="shared" si="0"/>
        <v>44.092499999999291</v>
      </c>
      <c r="E19">
        <f t="shared" si="1"/>
        <v>1.0001406134830348</v>
      </c>
    </row>
    <row r="20" spans="1:5" x14ac:dyDescent="0.25">
      <c r="A20">
        <v>1497</v>
      </c>
      <c r="B20">
        <v>295.8698</v>
      </c>
      <c r="C20">
        <v>47.773600000000002</v>
      </c>
      <c r="D20">
        <f t="shared" si="0"/>
        <v>47.185185185185219</v>
      </c>
      <c r="E20">
        <f t="shared" si="1"/>
        <v>1.012470329670329</v>
      </c>
    </row>
    <row r="21" spans="1:5" x14ac:dyDescent="0.25">
      <c r="A21">
        <v>1577</v>
      </c>
      <c r="B21">
        <v>296.4905</v>
      </c>
      <c r="C21">
        <v>46.548699999999997</v>
      </c>
      <c r="D21">
        <f t="shared" si="0"/>
        <v>46.552499999999952</v>
      </c>
      <c r="E21">
        <f t="shared" si="1"/>
        <v>0.99991837173084253</v>
      </c>
    </row>
    <row r="22" spans="1:5" x14ac:dyDescent="0.25">
      <c r="A22">
        <v>1658</v>
      </c>
      <c r="B22">
        <v>297.07850000000002</v>
      </c>
      <c r="C22">
        <v>44.098700000000001</v>
      </c>
      <c r="D22">
        <f t="shared" si="0"/>
        <v>43.555555555557206</v>
      </c>
      <c r="E22">
        <f t="shared" si="1"/>
        <v>1.0124701530611862</v>
      </c>
    </row>
    <row r="23" spans="1:5" x14ac:dyDescent="0.25">
      <c r="A23">
        <v>1738</v>
      </c>
      <c r="B23">
        <v>297.63380000000001</v>
      </c>
      <c r="C23">
        <v>41.648800000000001</v>
      </c>
      <c r="D23">
        <f t="shared" si="0"/>
        <v>41.647499999999127</v>
      </c>
      <c r="E23">
        <f t="shared" si="1"/>
        <v>1.0000312143586259</v>
      </c>
    </row>
    <row r="24" spans="1:5" x14ac:dyDescent="0.25">
      <c r="A24">
        <v>1818</v>
      </c>
      <c r="B24">
        <v>298.25439999999998</v>
      </c>
      <c r="C24">
        <v>46.548699999999997</v>
      </c>
      <c r="D24">
        <f t="shared" si="0"/>
        <v>46.544999999997572</v>
      </c>
      <c r="E24">
        <f t="shared" si="1"/>
        <v>1.0000794929638506</v>
      </c>
    </row>
    <row r="25" spans="1:5" x14ac:dyDescent="0.25">
      <c r="A25">
        <v>1899</v>
      </c>
      <c r="B25">
        <v>298.90769999999998</v>
      </c>
      <c r="C25">
        <v>48.998600000000003</v>
      </c>
      <c r="D25">
        <f t="shared" si="0"/>
        <v>48.392592592592706</v>
      </c>
      <c r="E25">
        <f t="shared" si="1"/>
        <v>1.0125227307515667</v>
      </c>
    </row>
    <row r="26" spans="1:5" x14ac:dyDescent="0.25">
      <c r="A26">
        <v>1980</v>
      </c>
      <c r="B26">
        <v>299.51209999999998</v>
      </c>
      <c r="C26">
        <v>45.323700000000002</v>
      </c>
      <c r="D26">
        <f t="shared" si="0"/>
        <v>44.770370370370244</v>
      </c>
      <c r="E26">
        <f t="shared" si="1"/>
        <v>1.012359281932498</v>
      </c>
    </row>
    <row r="27" spans="1:5" x14ac:dyDescent="0.25">
      <c r="A27">
        <v>2060</v>
      </c>
      <c r="B27">
        <v>300.06740000000002</v>
      </c>
      <c r="C27">
        <v>41.648800000000001</v>
      </c>
      <c r="D27">
        <f t="shared" si="0"/>
        <v>41.64750000000339</v>
      </c>
      <c r="E27">
        <f t="shared" si="1"/>
        <v>1.0000312143585235</v>
      </c>
    </row>
    <row r="28" spans="1:5" x14ac:dyDescent="0.25">
      <c r="A28">
        <v>2140</v>
      </c>
      <c r="B28">
        <v>300.65539999999999</v>
      </c>
      <c r="C28">
        <v>44.098700000000001</v>
      </c>
      <c r="D28">
        <f t="shared" si="0"/>
        <v>44.099999999997408</v>
      </c>
      <c r="E28">
        <f t="shared" si="1"/>
        <v>0.99997052154200894</v>
      </c>
    </row>
    <row r="29" spans="1:5" x14ac:dyDescent="0.25">
      <c r="A29">
        <v>2221</v>
      </c>
      <c r="B29">
        <v>301.29230000000001</v>
      </c>
      <c r="C29">
        <v>47.773600000000002</v>
      </c>
      <c r="D29">
        <f t="shared" si="0"/>
        <v>47.177777777779667</v>
      </c>
      <c r="E29">
        <f t="shared" si="1"/>
        <v>1.0126292981629363</v>
      </c>
    </row>
    <row r="30" spans="1:5" x14ac:dyDescent="0.25">
      <c r="A30">
        <v>2301</v>
      </c>
      <c r="B30">
        <v>301.91300000000001</v>
      </c>
      <c r="C30">
        <v>46.548699999999997</v>
      </c>
      <c r="D30">
        <f t="shared" si="0"/>
        <v>46.552499999999952</v>
      </c>
      <c r="E30">
        <f t="shared" si="1"/>
        <v>0.99991837173084253</v>
      </c>
    </row>
    <row r="31" spans="1:5" x14ac:dyDescent="0.25">
      <c r="A31">
        <v>2382</v>
      </c>
      <c r="B31">
        <v>302.50099999999998</v>
      </c>
      <c r="C31">
        <v>44.098700000000001</v>
      </c>
      <c r="D31">
        <f t="shared" si="0"/>
        <v>43.555555555552999</v>
      </c>
      <c r="E31">
        <f t="shared" si="1"/>
        <v>1.0124701530612839</v>
      </c>
    </row>
    <row r="32" spans="1:5" x14ac:dyDescent="0.25">
      <c r="A32">
        <v>2462</v>
      </c>
      <c r="B32">
        <v>303.21960000000001</v>
      </c>
      <c r="C32">
        <v>53.898499999999999</v>
      </c>
      <c r="D32">
        <f t="shared" si="0"/>
        <v>53.895000000002824</v>
      </c>
      <c r="E32">
        <f t="shared" si="1"/>
        <v>1.0000649410891025</v>
      </c>
    </row>
    <row r="33" spans="1:5" x14ac:dyDescent="0.25">
      <c r="A33">
        <v>2542</v>
      </c>
      <c r="B33">
        <v>303.95460000000003</v>
      </c>
      <c r="C33">
        <v>55.123399999999997</v>
      </c>
      <c r="D33">
        <f t="shared" si="0"/>
        <v>55.12500000000103</v>
      </c>
      <c r="E33">
        <f t="shared" si="1"/>
        <v>0.99997097505667054</v>
      </c>
    </row>
    <row r="34" spans="1:5" x14ac:dyDescent="0.25">
      <c r="A34">
        <v>2623</v>
      </c>
      <c r="B34">
        <v>304.50990000000002</v>
      </c>
      <c r="C34">
        <v>41.648800000000001</v>
      </c>
      <c r="D34">
        <f t="shared" si="0"/>
        <v>41.133333333332473</v>
      </c>
      <c r="E34">
        <f t="shared" si="1"/>
        <v>1.0125316045381088</v>
      </c>
    </row>
    <row r="35" spans="1:5" x14ac:dyDescent="0.25">
      <c r="A35">
        <v>2703</v>
      </c>
      <c r="B35">
        <v>304.93459999999999</v>
      </c>
      <c r="C35">
        <v>31.8491</v>
      </c>
      <c r="D35">
        <f t="shared" si="0"/>
        <v>31.852499999997978</v>
      </c>
      <c r="E35">
        <f t="shared" si="1"/>
        <v>0.99989325798609285</v>
      </c>
    </row>
    <row r="36" spans="1:5" x14ac:dyDescent="0.25">
      <c r="A36">
        <v>2784</v>
      </c>
      <c r="B36">
        <v>305.2122</v>
      </c>
      <c r="C36">
        <v>20.824400000000001</v>
      </c>
      <c r="D36">
        <f t="shared" si="0"/>
        <v>20.562962962963461</v>
      </c>
      <c r="E36">
        <f t="shared" si="1"/>
        <v>1.0127139769452205</v>
      </c>
    </row>
    <row r="37" spans="1:5" x14ac:dyDescent="0.25">
      <c r="A37">
        <v>2864</v>
      </c>
      <c r="B37">
        <v>305.34289999999999</v>
      </c>
      <c r="C37">
        <v>9.7996999999999996</v>
      </c>
      <c r="D37">
        <f t="shared" si="0"/>
        <v>9.8024999999992701</v>
      </c>
      <c r="E37">
        <f t="shared" si="1"/>
        <v>0.99971435858206881</v>
      </c>
    </row>
    <row r="38" spans="1:5" x14ac:dyDescent="0.25">
      <c r="A38">
        <v>2945</v>
      </c>
      <c r="B38">
        <v>305.37560000000002</v>
      </c>
      <c r="C38">
        <v>2.4499</v>
      </c>
      <c r="D38">
        <f t="shared" si="0"/>
        <v>2.4222222222247352</v>
      </c>
      <c r="E38">
        <f t="shared" si="1"/>
        <v>1.0114266055035379</v>
      </c>
    </row>
    <row r="39" spans="1:5" x14ac:dyDescent="0.25">
      <c r="A39">
        <v>3025</v>
      </c>
      <c r="B39">
        <v>305.37560000000002</v>
      </c>
      <c r="C39">
        <v>0</v>
      </c>
      <c r="D39">
        <f t="shared" si="0"/>
        <v>0</v>
      </c>
    </row>
    <row r="40" spans="1:5" x14ac:dyDescent="0.25">
      <c r="A40">
        <v>3106</v>
      </c>
      <c r="B40">
        <v>305.37560000000002</v>
      </c>
      <c r="C40">
        <v>0</v>
      </c>
      <c r="D40">
        <f t="shared" si="0"/>
        <v>0</v>
      </c>
    </row>
    <row r="41" spans="1:5" x14ac:dyDescent="0.25">
      <c r="A41">
        <v>3186</v>
      </c>
      <c r="B41">
        <v>305.37560000000002</v>
      </c>
      <c r="C41">
        <v>0</v>
      </c>
      <c r="D41">
        <f t="shared" si="0"/>
        <v>0</v>
      </c>
    </row>
    <row r="42" spans="1:5" x14ac:dyDescent="0.25">
      <c r="A42">
        <v>3266</v>
      </c>
      <c r="B42">
        <v>305.37560000000002</v>
      </c>
      <c r="C42">
        <v>0</v>
      </c>
      <c r="D42">
        <f t="shared" si="0"/>
        <v>0</v>
      </c>
    </row>
    <row r="43" spans="1:5" x14ac:dyDescent="0.25">
      <c r="A43">
        <v>3347</v>
      </c>
      <c r="B43">
        <v>305.37560000000002</v>
      </c>
      <c r="C43">
        <v>0</v>
      </c>
      <c r="D43">
        <f t="shared" si="0"/>
        <v>0</v>
      </c>
    </row>
    <row r="44" spans="1:5" x14ac:dyDescent="0.25">
      <c r="A44">
        <v>3427</v>
      </c>
      <c r="B44">
        <v>305.37560000000002</v>
      </c>
      <c r="C44">
        <v>0</v>
      </c>
      <c r="D44">
        <f t="shared" si="0"/>
        <v>0</v>
      </c>
    </row>
    <row r="45" spans="1:5" x14ac:dyDescent="0.25">
      <c r="A45">
        <v>3508</v>
      </c>
      <c r="B45">
        <v>305.37560000000002</v>
      </c>
      <c r="C45">
        <v>0</v>
      </c>
      <c r="D45">
        <f t="shared" si="0"/>
        <v>0</v>
      </c>
    </row>
    <row r="46" spans="1:5" x14ac:dyDescent="0.25">
      <c r="A46">
        <v>3588</v>
      </c>
      <c r="B46">
        <v>305.37560000000002</v>
      </c>
      <c r="C46">
        <v>0</v>
      </c>
      <c r="D46">
        <f t="shared" si="0"/>
        <v>0</v>
      </c>
    </row>
    <row r="47" spans="1:5" x14ac:dyDescent="0.25">
      <c r="A47">
        <v>3669</v>
      </c>
      <c r="B47">
        <v>305.37560000000002</v>
      </c>
      <c r="C47">
        <v>0</v>
      </c>
      <c r="D47">
        <f t="shared" si="0"/>
        <v>0</v>
      </c>
    </row>
    <row r="48" spans="1:5" x14ac:dyDescent="0.25">
      <c r="A48">
        <v>3749</v>
      </c>
      <c r="B48">
        <v>305.37560000000002</v>
      </c>
      <c r="C48">
        <v>0</v>
      </c>
      <c r="D48">
        <f t="shared" si="0"/>
        <v>0</v>
      </c>
    </row>
    <row r="49" spans="1:5" x14ac:dyDescent="0.25">
      <c r="A49">
        <v>3830</v>
      </c>
      <c r="B49">
        <v>305.37560000000002</v>
      </c>
      <c r="C49">
        <v>0</v>
      </c>
      <c r="D49">
        <f t="shared" si="0"/>
        <v>0</v>
      </c>
    </row>
    <row r="50" spans="1:5" x14ac:dyDescent="0.25">
      <c r="A50">
        <v>3910</v>
      </c>
      <c r="B50">
        <v>305.37560000000002</v>
      </c>
      <c r="C50">
        <v>0</v>
      </c>
      <c r="D50">
        <f t="shared" si="0"/>
        <v>0</v>
      </c>
    </row>
    <row r="51" spans="1:5" x14ac:dyDescent="0.25">
      <c r="A51">
        <v>3990</v>
      </c>
      <c r="B51">
        <v>305.37560000000002</v>
      </c>
      <c r="C51">
        <v>0</v>
      </c>
      <c r="D51">
        <f t="shared" si="0"/>
        <v>0</v>
      </c>
    </row>
    <row r="52" spans="1:5" x14ac:dyDescent="0.25">
      <c r="A52">
        <v>4071</v>
      </c>
      <c r="B52">
        <v>305.37560000000002</v>
      </c>
      <c r="C52">
        <v>0</v>
      </c>
      <c r="D52">
        <f t="shared" si="0"/>
        <v>0</v>
      </c>
    </row>
    <row r="53" spans="1:5" x14ac:dyDescent="0.25">
      <c r="A53">
        <v>4151</v>
      </c>
      <c r="B53">
        <v>305.37560000000002</v>
      </c>
      <c r="C53">
        <v>0</v>
      </c>
      <c r="D53">
        <f t="shared" si="0"/>
        <v>0</v>
      </c>
    </row>
    <row r="54" spans="1:5" x14ac:dyDescent="0.25">
      <c r="A54">
        <v>4232</v>
      </c>
      <c r="B54">
        <v>305.37560000000002</v>
      </c>
      <c r="C54">
        <v>0</v>
      </c>
      <c r="D54">
        <f t="shared" si="0"/>
        <v>0</v>
      </c>
    </row>
    <row r="55" spans="1:5" x14ac:dyDescent="0.25">
      <c r="A55">
        <v>4312</v>
      </c>
      <c r="B55">
        <v>305.37560000000002</v>
      </c>
      <c r="C55">
        <v>0</v>
      </c>
      <c r="D55">
        <f t="shared" si="0"/>
        <v>0</v>
      </c>
    </row>
    <row r="56" spans="1:5" x14ac:dyDescent="0.25">
      <c r="A56">
        <v>4393</v>
      </c>
      <c r="B56">
        <v>305.37560000000002</v>
      </c>
      <c r="C56">
        <v>0</v>
      </c>
      <c r="D56">
        <f t="shared" si="0"/>
        <v>0</v>
      </c>
    </row>
    <row r="57" spans="1:5" x14ac:dyDescent="0.25">
      <c r="A57">
        <v>4473</v>
      </c>
      <c r="B57">
        <v>305.65320000000003</v>
      </c>
      <c r="C57">
        <v>20.824400000000001</v>
      </c>
      <c r="D57">
        <f t="shared" si="0"/>
        <v>20.820000000000505</v>
      </c>
      <c r="E57">
        <f t="shared" si="1"/>
        <v>1.0002113352545388</v>
      </c>
    </row>
    <row r="58" spans="1:5" x14ac:dyDescent="0.25">
      <c r="A58">
        <v>4554</v>
      </c>
      <c r="B58">
        <v>306.20850000000002</v>
      </c>
      <c r="C58">
        <v>41.648800000000001</v>
      </c>
      <c r="D58">
        <f t="shared" si="0"/>
        <v>41.133333333332473</v>
      </c>
      <c r="E58">
        <f t="shared" si="1"/>
        <v>1.0125316045381088</v>
      </c>
    </row>
    <row r="59" spans="1:5" x14ac:dyDescent="0.25">
      <c r="A59">
        <v>4634</v>
      </c>
      <c r="B59">
        <v>306.7638</v>
      </c>
      <c r="C59">
        <v>41.648800000000001</v>
      </c>
      <c r="D59">
        <f t="shared" si="0"/>
        <v>41.647499999999127</v>
      </c>
      <c r="E59">
        <f t="shared" si="1"/>
        <v>1.0000312143586259</v>
      </c>
    </row>
    <row r="60" spans="1:5" x14ac:dyDescent="0.25">
      <c r="A60">
        <v>4714</v>
      </c>
      <c r="B60">
        <v>307.3682</v>
      </c>
      <c r="C60">
        <v>45.323700000000002</v>
      </c>
      <c r="D60">
        <f t="shared" si="0"/>
        <v>45.32999999999987</v>
      </c>
      <c r="E60">
        <f t="shared" si="1"/>
        <v>0.99986101919259063</v>
      </c>
    </row>
    <row r="61" spans="1:5" x14ac:dyDescent="0.25">
      <c r="A61">
        <v>4795</v>
      </c>
      <c r="B61">
        <v>308.0215</v>
      </c>
      <c r="C61">
        <v>48.998600000000003</v>
      </c>
      <c r="D61">
        <f t="shared" si="0"/>
        <v>48.392592592592706</v>
      </c>
      <c r="E61">
        <f t="shared" si="1"/>
        <v>1.0125227307515667</v>
      </c>
    </row>
    <row r="62" spans="1:5" x14ac:dyDescent="0.25">
      <c r="A62">
        <v>4876</v>
      </c>
      <c r="B62">
        <v>308.62580000000003</v>
      </c>
      <c r="C62">
        <v>45.323700000000002</v>
      </c>
      <c r="D62">
        <f t="shared" si="0"/>
        <v>44.762962962964693</v>
      </c>
      <c r="E62">
        <f t="shared" si="1"/>
        <v>1.0125268078768432</v>
      </c>
    </row>
    <row r="63" spans="1:5" x14ac:dyDescent="0.25">
      <c r="A63">
        <v>4956</v>
      </c>
      <c r="B63">
        <v>309.19740000000002</v>
      </c>
      <c r="C63">
        <v>42.873800000000003</v>
      </c>
      <c r="D63">
        <f t="shared" si="0"/>
        <v>42.869999999999209</v>
      </c>
      <c r="E63">
        <f t="shared" si="1"/>
        <v>1.0000886400746627</v>
      </c>
    </row>
    <row r="64" spans="1:5" x14ac:dyDescent="0.25">
      <c r="A64">
        <v>5036</v>
      </c>
      <c r="B64">
        <v>309.76909999999998</v>
      </c>
      <c r="C64">
        <v>42.873800000000003</v>
      </c>
      <c r="D64">
        <f t="shared" si="0"/>
        <v>42.877499999997326</v>
      </c>
      <c r="E64">
        <f t="shared" si="1"/>
        <v>0.99991370765559273</v>
      </c>
    </row>
    <row r="65" spans="1:5" x14ac:dyDescent="0.25">
      <c r="A65">
        <v>5117</v>
      </c>
      <c r="B65">
        <v>310.3897</v>
      </c>
      <c r="C65">
        <v>46.548699999999997</v>
      </c>
      <c r="D65">
        <f t="shared" si="0"/>
        <v>45.97037037037218</v>
      </c>
      <c r="E65">
        <f t="shared" si="1"/>
        <v>1.0125804866258061</v>
      </c>
    </row>
    <row r="66" spans="1:5" x14ac:dyDescent="0.25">
      <c r="A66">
        <v>5197</v>
      </c>
      <c r="B66">
        <v>311.04309999999998</v>
      </c>
      <c r="C66">
        <v>48.998600000000003</v>
      </c>
      <c r="D66">
        <f t="shared" si="0"/>
        <v>49.00499999999824</v>
      </c>
      <c r="E66">
        <f t="shared" si="1"/>
        <v>0.99986940108155831</v>
      </c>
    </row>
    <row r="67" spans="1:5" x14ac:dyDescent="0.25">
      <c r="A67">
        <v>5278</v>
      </c>
      <c r="B67">
        <v>311.63099999999997</v>
      </c>
      <c r="C67">
        <v>44.098700000000001</v>
      </c>
      <c r="D67">
        <f t="shared" si="0"/>
        <v>43.548148148147448</v>
      </c>
      <c r="E67">
        <f t="shared" si="1"/>
        <v>1.0126423711515726</v>
      </c>
    </row>
    <row r="68" spans="1:5" x14ac:dyDescent="0.25">
      <c r="A68">
        <v>5358</v>
      </c>
      <c r="B68">
        <v>312.18639999999999</v>
      </c>
      <c r="C68">
        <v>41.648800000000001</v>
      </c>
      <c r="D68">
        <f t="shared" ref="D68:D86" si="2">(B68-B67)/(A68-A67)*$G$2</f>
        <v>41.655000000001507</v>
      </c>
      <c r="E68">
        <f t="shared" si="1"/>
        <v>0.99985115832429461</v>
      </c>
    </row>
    <row r="69" spans="1:5" x14ac:dyDescent="0.25">
      <c r="A69">
        <v>5439</v>
      </c>
      <c r="B69">
        <v>312.79070000000002</v>
      </c>
      <c r="C69">
        <v>45.323700000000002</v>
      </c>
      <c r="D69">
        <f t="shared" si="2"/>
        <v>44.762962962964693</v>
      </c>
      <c r="E69">
        <f t="shared" si="1"/>
        <v>1.0125268078768432</v>
      </c>
    </row>
    <row r="70" spans="1:5" x14ac:dyDescent="0.25">
      <c r="A70">
        <v>5519</v>
      </c>
      <c r="B70">
        <v>313.42770000000002</v>
      </c>
      <c r="C70">
        <v>47.773600000000002</v>
      </c>
      <c r="D70">
        <f t="shared" si="2"/>
        <v>47.775000000000034</v>
      </c>
      <c r="E70">
        <f t="shared" si="1"/>
        <v>0.99997069597069532</v>
      </c>
    </row>
    <row r="71" spans="1:5" x14ac:dyDescent="0.25">
      <c r="A71">
        <v>5599</v>
      </c>
      <c r="B71">
        <v>314.04829999999998</v>
      </c>
      <c r="C71">
        <v>46.548699999999997</v>
      </c>
      <c r="D71">
        <f t="shared" si="2"/>
        <v>46.544999999997572</v>
      </c>
      <c r="E71">
        <f t="shared" si="1"/>
        <v>1.0000794929638506</v>
      </c>
    </row>
    <row r="72" spans="1:5" x14ac:dyDescent="0.25">
      <c r="A72">
        <v>5680</v>
      </c>
      <c r="B72">
        <v>314.62</v>
      </c>
      <c r="C72">
        <v>42.873800000000003</v>
      </c>
      <c r="D72">
        <f t="shared" si="2"/>
        <v>42.348148148149718</v>
      </c>
      <c r="E72">
        <f t="shared" si="1"/>
        <v>1.012412629001187</v>
      </c>
    </row>
    <row r="73" spans="1:5" x14ac:dyDescent="0.25">
      <c r="A73">
        <v>5761</v>
      </c>
      <c r="B73">
        <v>315.19159999999999</v>
      </c>
      <c r="C73">
        <v>42.873800000000003</v>
      </c>
      <c r="D73">
        <f t="shared" si="2"/>
        <v>42.34074074073996</v>
      </c>
      <c r="E73">
        <f t="shared" si="1"/>
        <v>1.0125897480755961</v>
      </c>
    </row>
    <row r="74" spans="1:5" x14ac:dyDescent="0.25">
      <c r="A74">
        <v>5841</v>
      </c>
      <c r="B74">
        <v>315.82859999999999</v>
      </c>
      <c r="C74">
        <v>47.773600000000002</v>
      </c>
      <c r="D74">
        <f t="shared" si="2"/>
        <v>47.775000000000034</v>
      </c>
      <c r="E74">
        <f t="shared" si="1"/>
        <v>0.99997069597069532</v>
      </c>
    </row>
    <row r="75" spans="1:5" x14ac:dyDescent="0.25">
      <c r="A75">
        <v>5921</v>
      </c>
      <c r="B75">
        <v>316.46559999999999</v>
      </c>
      <c r="C75">
        <v>47.773600000000002</v>
      </c>
      <c r="D75">
        <f t="shared" si="2"/>
        <v>47.775000000000034</v>
      </c>
      <c r="E75">
        <f t="shared" ref="E75:E86" si="3">C75/D75</f>
        <v>0.99997069597069532</v>
      </c>
    </row>
    <row r="76" spans="1:5" x14ac:dyDescent="0.25">
      <c r="A76">
        <v>6002</v>
      </c>
      <c r="B76">
        <v>317.06990000000002</v>
      </c>
      <c r="C76">
        <v>45.323700000000002</v>
      </c>
      <c r="D76">
        <f t="shared" si="2"/>
        <v>44.762962962964693</v>
      </c>
      <c r="E76">
        <f t="shared" si="3"/>
        <v>1.0125268078768432</v>
      </c>
    </row>
    <row r="77" spans="1:5" x14ac:dyDescent="0.25">
      <c r="A77">
        <v>6082</v>
      </c>
      <c r="B77">
        <v>317.62520000000001</v>
      </c>
      <c r="C77">
        <v>41.648800000000001</v>
      </c>
      <c r="D77">
        <f t="shared" si="2"/>
        <v>41.647499999999127</v>
      </c>
      <c r="E77">
        <f t="shared" si="3"/>
        <v>1.0000312143586259</v>
      </c>
    </row>
    <row r="78" spans="1:5" x14ac:dyDescent="0.25">
      <c r="A78">
        <v>6163</v>
      </c>
      <c r="B78">
        <v>318.21319999999997</v>
      </c>
      <c r="C78">
        <v>44.098700000000001</v>
      </c>
      <c r="D78">
        <f t="shared" si="2"/>
        <v>43.555555555552999</v>
      </c>
      <c r="E78">
        <f t="shared" si="3"/>
        <v>1.0124701530612839</v>
      </c>
    </row>
    <row r="79" spans="1:5" x14ac:dyDescent="0.25">
      <c r="A79">
        <v>6243</v>
      </c>
      <c r="B79">
        <v>318.96449999999999</v>
      </c>
      <c r="C79">
        <v>56.348399999999998</v>
      </c>
      <c r="D79">
        <f t="shared" si="2"/>
        <v>56.347500000001105</v>
      </c>
      <c r="E79">
        <f t="shared" si="3"/>
        <v>1.0000159723146349</v>
      </c>
    </row>
    <row r="80" spans="1:5" x14ac:dyDescent="0.25">
      <c r="A80">
        <v>6323</v>
      </c>
      <c r="B80">
        <v>319.58510000000001</v>
      </c>
      <c r="C80">
        <v>46.548699999999997</v>
      </c>
      <c r="D80">
        <f t="shared" si="2"/>
        <v>46.545000000001835</v>
      </c>
      <c r="E80">
        <f t="shared" si="3"/>
        <v>1.0000794929637591</v>
      </c>
    </row>
    <row r="81" spans="1:5" x14ac:dyDescent="0.25">
      <c r="A81">
        <v>6404</v>
      </c>
      <c r="B81">
        <v>320.04250000000002</v>
      </c>
      <c r="C81">
        <v>34.298999999999999</v>
      </c>
      <c r="D81">
        <f t="shared" si="2"/>
        <v>33.881481481481991</v>
      </c>
      <c r="E81">
        <f t="shared" si="3"/>
        <v>1.0123229121119217</v>
      </c>
    </row>
    <row r="82" spans="1:5" x14ac:dyDescent="0.25">
      <c r="A82">
        <v>6484</v>
      </c>
      <c r="B82">
        <v>320.3528</v>
      </c>
      <c r="C82">
        <v>23.2743</v>
      </c>
      <c r="D82">
        <f t="shared" si="2"/>
        <v>23.272499999998786</v>
      </c>
      <c r="E82">
        <f t="shared" si="3"/>
        <v>1.0000773445053697</v>
      </c>
    </row>
    <row r="83" spans="1:5" x14ac:dyDescent="0.25">
      <c r="A83">
        <v>6565</v>
      </c>
      <c r="B83">
        <v>320.54880000000003</v>
      </c>
      <c r="C83">
        <v>14.6996</v>
      </c>
      <c r="D83">
        <f t="shared" si="2"/>
        <v>14.518518518520473</v>
      </c>
      <c r="E83">
        <f t="shared" si="3"/>
        <v>1.0124724489794557</v>
      </c>
    </row>
    <row r="84" spans="1:5" x14ac:dyDescent="0.25">
      <c r="A84">
        <v>6646</v>
      </c>
      <c r="B84">
        <v>320.61410000000001</v>
      </c>
      <c r="C84">
        <v>4.8998999999999997</v>
      </c>
      <c r="D84">
        <f t="shared" si="2"/>
        <v>4.8370370370355005</v>
      </c>
      <c r="E84">
        <f t="shared" si="3"/>
        <v>1.0129961715164013</v>
      </c>
    </row>
    <row r="85" spans="1:5" x14ac:dyDescent="0.25">
      <c r="A85">
        <v>6726</v>
      </c>
      <c r="B85">
        <v>320.61410000000001</v>
      </c>
      <c r="C85">
        <v>0</v>
      </c>
      <c r="D85">
        <f t="shared" si="2"/>
        <v>0</v>
      </c>
    </row>
    <row r="86" spans="1:5" x14ac:dyDescent="0.25">
      <c r="A86">
        <v>6806</v>
      </c>
      <c r="B86">
        <v>320.61410000000001</v>
      </c>
      <c r="C86">
        <v>0</v>
      </c>
      <c r="D86">
        <f t="shared" si="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conoron@student.ubc.ca</cp:lastModifiedBy>
  <dcterms:created xsi:type="dcterms:W3CDTF">2026-01-29T22:11:11Z</dcterms:created>
  <dcterms:modified xsi:type="dcterms:W3CDTF">2026-01-29T22:23:47Z</dcterms:modified>
</cp:coreProperties>
</file>