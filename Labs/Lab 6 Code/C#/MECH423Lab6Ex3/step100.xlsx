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tr\Documents\GitHub\Mech-421-3-Final-Project\Labs\Lab 6 Code\C#\MECH423Lab6Ex3\"/>
    </mc:Choice>
  </mc:AlternateContent>
  <xr:revisionPtr revIDLastSave="0" documentId="13_ncr:9_{5F5677C4-7551-474E-BB58-16737324AAFB}" xr6:coauthVersionLast="47" xr6:coauthVersionMax="47" xr10:uidLastSave="{00000000-0000-0000-0000-000000000000}"/>
  <bookViews>
    <workbookView xWindow="-120" yWindow="-120" windowWidth="29040" windowHeight="15720" xr2:uid="{4521B334-A8C9-48F0-8733-59353C141378}"/>
  </bookViews>
  <sheets>
    <sheet name="step100" sheetId="1" r:id="rId1"/>
  </sheets>
  <calcPr calcId="0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D35" i="1"/>
  <c r="E35" i="1" s="1"/>
  <c r="D36" i="1"/>
  <c r="D37" i="1"/>
  <c r="D38" i="1"/>
  <c r="E38" i="1" s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D69" i="1"/>
  <c r="D70" i="1"/>
  <c r="D71" i="1"/>
  <c r="D72" i="1"/>
  <c r="D73" i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D85" i="1"/>
  <c r="D86" i="1"/>
  <c r="D87" i="1"/>
  <c r="D88" i="1"/>
  <c r="D89" i="1"/>
  <c r="D90" i="1"/>
  <c r="D91" i="1"/>
  <c r="D92" i="1"/>
  <c r="D93" i="1"/>
  <c r="D3" i="1"/>
  <c r="E34" i="1"/>
  <c r="E20" i="1"/>
  <c r="E36" i="1"/>
  <c r="E37" i="1"/>
  <c r="E39" i="1"/>
  <c r="E40" i="1"/>
  <c r="E41" i="1"/>
  <c r="E58" i="1"/>
  <c r="E68" i="1"/>
  <c r="E69" i="1"/>
  <c r="E70" i="1"/>
  <c r="E71" i="1"/>
  <c r="E72" i="1"/>
  <c r="E73" i="1"/>
  <c r="E84" i="1"/>
  <c r="E85" i="1"/>
  <c r="E86" i="1"/>
  <c r="E87" i="1"/>
  <c r="E88" i="1"/>
  <c r="E89" i="1"/>
  <c r="E90" i="1"/>
  <c r="E91" i="1"/>
  <c r="E92" i="1"/>
  <c r="E93" i="1"/>
  <c r="E11" i="1"/>
  <c r="F2" i="1" l="1"/>
</calcChain>
</file>

<file path=xl/sharedStrings.xml><?xml version="1.0" encoding="utf-8"?>
<sst xmlns="http://schemas.openxmlformats.org/spreadsheetml/2006/main" count="3" uniqueCount="3">
  <si>
    <t>Time_ms</t>
  </si>
  <si>
    <t>Position_cm</t>
  </si>
  <si>
    <t>Velocity_RPM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</si>
</sst>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step100!$A$1:$A$93</c:f>
              <c:strCache>
                <c:ptCount val="93"/>
                <c:pt idx="0">
                  <c:v>Time_ms</c:v>
                </c:pt>
                <c:pt idx="1">
                  <c:v>16</c:v>
                </c:pt>
                <c:pt idx="2">
                  <c:v>97</c:v>
                </c:pt>
                <c:pt idx="3">
                  <c:v>177</c:v>
                </c:pt>
                <c:pt idx="4">
                  <c:v>258</c:v>
                </c:pt>
                <c:pt idx="5">
                  <c:v>338</c:v>
                </c:pt>
                <c:pt idx="6">
                  <c:v>419</c:v>
                </c:pt>
                <c:pt idx="7">
                  <c:v>499</c:v>
                </c:pt>
                <c:pt idx="8">
                  <c:v>579</c:v>
                </c:pt>
                <c:pt idx="9">
                  <c:v>660</c:v>
                </c:pt>
                <c:pt idx="10">
                  <c:v>740</c:v>
                </c:pt>
                <c:pt idx="11">
                  <c:v>821</c:v>
                </c:pt>
                <c:pt idx="12">
                  <c:v>902</c:v>
                </c:pt>
                <c:pt idx="13">
                  <c:v>982</c:v>
                </c:pt>
                <c:pt idx="14">
                  <c:v>1062</c:v>
                </c:pt>
                <c:pt idx="15">
                  <c:v>1143</c:v>
                </c:pt>
                <c:pt idx="16">
                  <c:v>1223</c:v>
                </c:pt>
                <c:pt idx="17">
                  <c:v>1304</c:v>
                </c:pt>
                <c:pt idx="18">
                  <c:v>1384</c:v>
                </c:pt>
                <c:pt idx="19">
                  <c:v>1465</c:v>
                </c:pt>
                <c:pt idx="20">
                  <c:v>1545</c:v>
                </c:pt>
                <c:pt idx="21">
                  <c:v>1626</c:v>
                </c:pt>
                <c:pt idx="22">
                  <c:v>1706</c:v>
                </c:pt>
                <c:pt idx="23">
                  <c:v>1787</c:v>
                </c:pt>
                <c:pt idx="24">
                  <c:v>1867</c:v>
                </c:pt>
                <c:pt idx="25">
                  <c:v>1948</c:v>
                </c:pt>
                <c:pt idx="26">
                  <c:v>2028</c:v>
                </c:pt>
                <c:pt idx="27">
                  <c:v>2108</c:v>
                </c:pt>
                <c:pt idx="28">
                  <c:v>2189</c:v>
                </c:pt>
                <c:pt idx="29">
                  <c:v>2270</c:v>
                </c:pt>
                <c:pt idx="30">
                  <c:v>2350</c:v>
                </c:pt>
                <c:pt idx="31">
                  <c:v>2430</c:v>
                </c:pt>
                <c:pt idx="32">
                  <c:v>2511</c:v>
                </c:pt>
                <c:pt idx="33">
                  <c:v>2591</c:v>
                </c:pt>
                <c:pt idx="34">
                  <c:v>2672</c:v>
                </c:pt>
                <c:pt idx="35">
                  <c:v>2753</c:v>
                </c:pt>
                <c:pt idx="36">
                  <c:v>2833</c:v>
                </c:pt>
                <c:pt idx="37">
                  <c:v>2913</c:v>
                </c:pt>
                <c:pt idx="38">
                  <c:v>2994</c:v>
                </c:pt>
                <c:pt idx="39">
                  <c:v>3074</c:v>
                </c:pt>
                <c:pt idx="40">
                  <c:v>3155</c:v>
                </c:pt>
                <c:pt idx="41">
                  <c:v>3235</c:v>
                </c:pt>
                <c:pt idx="42">
                  <c:v>3315</c:v>
                </c:pt>
                <c:pt idx="43">
                  <c:v>3396</c:v>
                </c:pt>
                <c:pt idx="44">
                  <c:v>3476</c:v>
                </c:pt>
                <c:pt idx="45">
                  <c:v>3557</c:v>
                </c:pt>
                <c:pt idx="46">
                  <c:v>3637</c:v>
                </c:pt>
                <c:pt idx="47">
                  <c:v>3718</c:v>
                </c:pt>
                <c:pt idx="48">
                  <c:v>3798</c:v>
                </c:pt>
                <c:pt idx="49">
                  <c:v>3879</c:v>
                </c:pt>
                <c:pt idx="50">
                  <c:v>3959</c:v>
                </c:pt>
                <c:pt idx="51">
                  <c:v>4040</c:v>
                </c:pt>
                <c:pt idx="52">
                  <c:v>4120</c:v>
                </c:pt>
                <c:pt idx="53">
                  <c:v>4200</c:v>
                </c:pt>
                <c:pt idx="54">
                  <c:v>4281</c:v>
                </c:pt>
                <c:pt idx="55">
                  <c:v>4361</c:v>
                </c:pt>
                <c:pt idx="56">
                  <c:v>4442</c:v>
                </c:pt>
                <c:pt idx="57">
                  <c:v>4522</c:v>
                </c:pt>
                <c:pt idx="58">
                  <c:v>4603</c:v>
                </c:pt>
                <c:pt idx="59">
                  <c:v>4683</c:v>
                </c:pt>
                <c:pt idx="60">
                  <c:v>4764</c:v>
                </c:pt>
                <c:pt idx="61">
                  <c:v>4844</c:v>
                </c:pt>
                <c:pt idx="62">
                  <c:v>4925</c:v>
                </c:pt>
                <c:pt idx="63">
                  <c:v>5005</c:v>
                </c:pt>
                <c:pt idx="64">
                  <c:v>5086</c:v>
                </c:pt>
                <c:pt idx="65">
                  <c:v>5166</c:v>
                </c:pt>
                <c:pt idx="66">
                  <c:v>5246</c:v>
                </c:pt>
                <c:pt idx="67">
                  <c:v>5327</c:v>
                </c:pt>
                <c:pt idx="68">
                  <c:v>5408</c:v>
                </c:pt>
                <c:pt idx="69">
                  <c:v>5488</c:v>
                </c:pt>
                <c:pt idx="70">
                  <c:v>5569</c:v>
                </c:pt>
                <c:pt idx="71">
                  <c:v>5649</c:v>
                </c:pt>
                <c:pt idx="72">
                  <c:v>5729</c:v>
                </c:pt>
                <c:pt idx="73">
                  <c:v>5810</c:v>
                </c:pt>
                <c:pt idx="74">
                  <c:v>5890</c:v>
                </c:pt>
                <c:pt idx="75">
                  <c:v>5970</c:v>
                </c:pt>
                <c:pt idx="76">
                  <c:v>6051</c:v>
                </c:pt>
                <c:pt idx="77">
                  <c:v>6132</c:v>
                </c:pt>
                <c:pt idx="78">
                  <c:v>6212</c:v>
                </c:pt>
                <c:pt idx="79">
                  <c:v>6292</c:v>
                </c:pt>
                <c:pt idx="80">
                  <c:v>6373</c:v>
                </c:pt>
                <c:pt idx="81">
                  <c:v>6457</c:v>
                </c:pt>
                <c:pt idx="82">
                  <c:v>6534</c:v>
                </c:pt>
                <c:pt idx="83">
                  <c:v>6614</c:v>
                </c:pt>
                <c:pt idx="84">
                  <c:v>6695</c:v>
                </c:pt>
                <c:pt idx="85">
                  <c:v>6775</c:v>
                </c:pt>
                <c:pt idx="86">
                  <c:v>6856</c:v>
                </c:pt>
                <c:pt idx="87">
                  <c:v>6936</c:v>
                </c:pt>
                <c:pt idx="88">
                  <c:v>7017</c:v>
                </c:pt>
                <c:pt idx="89">
                  <c:v>7097</c:v>
                </c:pt>
                <c:pt idx="90">
                  <c:v>7177</c:v>
                </c:pt>
                <c:pt idx="91">
                  <c:v>7258</c:v>
                </c:pt>
                <c:pt idx="92">
                  <c:v>7338</c:v>
                </c:pt>
              </c:strCache>
            </c:strRef>
          </c:xVal>
          <c:yVal>
            <c:numRef>
              <c:f>step100!$D$1:$D$93</c:f>
              <c:numCache>
                <c:formatCode>General</c:formatCode>
                <c:ptCount val="93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44.345936035134827</c:v>
                </c:pt>
                <c:pt idx="11">
                  <c:v>91.262302765091135</c:v>
                </c:pt>
                <c:pt idx="12">
                  <c:v>96.127142251259187</c:v>
                </c:pt>
                <c:pt idx="13">
                  <c:v>98.558258247164872</c:v>
                </c:pt>
                <c:pt idx="14">
                  <c:v>97.328731529402063</c:v>
                </c:pt>
                <c:pt idx="15">
                  <c:v>97.348939610728948</c:v>
                </c:pt>
                <c:pt idx="16">
                  <c:v>98.558258247164872</c:v>
                </c:pt>
                <c:pt idx="17">
                  <c:v>97.341489626829514</c:v>
                </c:pt>
                <c:pt idx="18">
                  <c:v>97.328731529402063</c:v>
                </c:pt>
                <c:pt idx="19">
                  <c:v>97.341489626829514</c:v>
                </c:pt>
                <c:pt idx="20">
                  <c:v>98.565801355860913</c:v>
                </c:pt>
                <c:pt idx="21">
                  <c:v>97.341489626829514</c:v>
                </c:pt>
                <c:pt idx="22">
                  <c:v>98.558258247164872</c:v>
                </c:pt>
                <c:pt idx="23">
                  <c:v>97.348939610728948</c:v>
                </c:pt>
                <c:pt idx="24">
                  <c:v>98.558258247164872</c:v>
                </c:pt>
                <c:pt idx="25">
                  <c:v>96.127142251261304</c:v>
                </c:pt>
                <c:pt idx="26">
                  <c:v>98.558258247164872</c:v>
                </c:pt>
                <c:pt idx="27">
                  <c:v>98.558258247164872</c:v>
                </c:pt>
                <c:pt idx="28">
                  <c:v>97.348939610726831</c:v>
                </c:pt>
                <c:pt idx="29">
                  <c:v>97.341489626829514</c:v>
                </c:pt>
                <c:pt idx="30">
                  <c:v>98.558258247164872</c:v>
                </c:pt>
                <c:pt idx="31">
                  <c:v>97.328731529402063</c:v>
                </c:pt>
                <c:pt idx="32">
                  <c:v>96.127142251261304</c:v>
                </c:pt>
                <c:pt idx="33">
                  <c:v>85.01083502568153</c:v>
                </c:pt>
                <c:pt idx="34">
                  <c:v>70.573697477034926</c:v>
                </c:pt>
                <c:pt idx="35">
                  <c:v>59.622221145224849</c:v>
                </c:pt>
                <c:pt idx="36">
                  <c:v>46.820075688056818</c:v>
                </c:pt>
                <c:pt idx="37">
                  <c:v>35.724162793400922</c:v>
                </c:pt>
                <c:pt idx="38">
                  <c:v>25.553444774226367</c:v>
                </c:pt>
                <c:pt idx="39">
                  <c:v>16.01401976570715</c:v>
                </c:pt>
                <c:pt idx="40">
                  <c:v>6.0866368456378099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8.6217732417360526</c:v>
                </c:pt>
                <c:pt idx="58">
                  <c:v>77.874681698243066</c:v>
                </c:pt>
                <c:pt idx="59">
                  <c:v>96.099204811639254</c:v>
                </c:pt>
                <c:pt idx="60">
                  <c:v>96.127142251261304</c:v>
                </c:pt>
                <c:pt idx="61">
                  <c:v>98.558258247164872</c:v>
                </c:pt>
                <c:pt idx="62">
                  <c:v>97.341489626829514</c:v>
                </c:pt>
                <c:pt idx="63">
                  <c:v>97.328731529399931</c:v>
                </c:pt>
                <c:pt idx="64">
                  <c:v>97.348939610728948</c:v>
                </c:pt>
                <c:pt idx="65">
                  <c:v>98.558258247164872</c:v>
                </c:pt>
                <c:pt idx="66">
                  <c:v>98.558258247164872</c:v>
                </c:pt>
                <c:pt idx="67">
                  <c:v>97.341489626829514</c:v>
                </c:pt>
                <c:pt idx="68">
                  <c:v>97.348939610728948</c:v>
                </c:pt>
                <c:pt idx="69">
                  <c:v>98.558258247164872</c:v>
                </c:pt>
                <c:pt idx="70">
                  <c:v>97.341489626829514</c:v>
                </c:pt>
                <c:pt idx="71">
                  <c:v>98.565801355860913</c:v>
                </c:pt>
                <c:pt idx="72">
                  <c:v>97.328731529402063</c:v>
                </c:pt>
                <c:pt idx="73">
                  <c:v>97.341489626829514</c:v>
                </c:pt>
                <c:pt idx="74">
                  <c:v>98.558258247164872</c:v>
                </c:pt>
                <c:pt idx="75">
                  <c:v>98.558258247164872</c:v>
                </c:pt>
                <c:pt idx="76">
                  <c:v>97.348939610728948</c:v>
                </c:pt>
                <c:pt idx="77">
                  <c:v>97.341489626829514</c:v>
                </c:pt>
                <c:pt idx="78">
                  <c:v>98.55825824716274</c:v>
                </c:pt>
                <c:pt idx="79">
                  <c:v>98.565801355863059</c:v>
                </c:pt>
                <c:pt idx="80">
                  <c:v>97.341489626829514</c:v>
                </c:pt>
                <c:pt idx="81">
                  <c:v>93.865007854442737</c:v>
                </c:pt>
                <c:pt idx="82">
                  <c:v>102.40602738271488</c:v>
                </c:pt>
                <c:pt idx="83">
                  <c:v>98.558258247164872</c:v>
                </c:pt>
                <c:pt idx="84">
                  <c:v>97.341489626829514</c:v>
                </c:pt>
                <c:pt idx="85">
                  <c:v>98.558258247164872</c:v>
                </c:pt>
                <c:pt idx="86">
                  <c:v>97.348939610726831</c:v>
                </c:pt>
                <c:pt idx="87">
                  <c:v>89.936485005428821</c:v>
                </c:pt>
                <c:pt idx="88">
                  <c:v>75.43853696320933</c:v>
                </c:pt>
                <c:pt idx="89">
                  <c:v>64.063622171524628</c:v>
                </c:pt>
                <c:pt idx="90">
                  <c:v>51.745725667808394</c:v>
                </c:pt>
                <c:pt idx="91">
                  <c:v>40.155413216638408</c:v>
                </c:pt>
                <c:pt idx="92">
                  <c:v>29.568986095888672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ED-4AC6-ACF3-F26A6FA8F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743968"/>
        <c:axId val="991764608"/>
      </c:scatterChart>
      <c:valAx>
        <c:axId val="99174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64608"/>
        <c:crosses val="autoZero"/>
        <c:crossBetween val="midCat"/>
      </c:valAx>
      <c:valAx>
        <c:axId val="99176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4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</a:t>
            </a:r>
            <a:r>
              <a:rPr lang="en-US" baseline="0"/>
              <a:t> 100%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step100!$A$1:$A$30</c:f>
              <c:strCache>
                <c:ptCount val="30"/>
                <c:pt idx="0">
                  <c:v>Time_ms</c:v>
                </c:pt>
                <c:pt idx="1">
                  <c:v>16</c:v>
                </c:pt>
                <c:pt idx="2">
                  <c:v>97</c:v>
                </c:pt>
                <c:pt idx="3">
                  <c:v>177</c:v>
                </c:pt>
                <c:pt idx="4">
                  <c:v>258</c:v>
                </c:pt>
                <c:pt idx="5">
                  <c:v>338</c:v>
                </c:pt>
                <c:pt idx="6">
                  <c:v>419</c:v>
                </c:pt>
                <c:pt idx="7">
                  <c:v>499</c:v>
                </c:pt>
                <c:pt idx="8">
                  <c:v>579</c:v>
                </c:pt>
                <c:pt idx="9">
                  <c:v>660</c:v>
                </c:pt>
                <c:pt idx="10">
                  <c:v>740</c:v>
                </c:pt>
                <c:pt idx="11">
                  <c:v>821</c:v>
                </c:pt>
                <c:pt idx="12">
                  <c:v>902</c:v>
                </c:pt>
                <c:pt idx="13">
                  <c:v>982</c:v>
                </c:pt>
                <c:pt idx="14">
                  <c:v>1062</c:v>
                </c:pt>
                <c:pt idx="15">
                  <c:v>1143</c:v>
                </c:pt>
                <c:pt idx="16">
                  <c:v>1223</c:v>
                </c:pt>
                <c:pt idx="17">
                  <c:v>1304</c:v>
                </c:pt>
                <c:pt idx="18">
                  <c:v>1384</c:v>
                </c:pt>
                <c:pt idx="19">
                  <c:v>1465</c:v>
                </c:pt>
                <c:pt idx="20">
                  <c:v>1545</c:v>
                </c:pt>
                <c:pt idx="21">
                  <c:v>1626</c:v>
                </c:pt>
                <c:pt idx="22">
                  <c:v>1706</c:v>
                </c:pt>
                <c:pt idx="23">
                  <c:v>1787</c:v>
                </c:pt>
                <c:pt idx="24">
                  <c:v>1867</c:v>
                </c:pt>
                <c:pt idx="25">
                  <c:v>1948</c:v>
                </c:pt>
                <c:pt idx="26">
                  <c:v>2028</c:v>
                </c:pt>
                <c:pt idx="27">
                  <c:v>2108</c:v>
                </c:pt>
                <c:pt idx="28">
                  <c:v>2189</c:v>
                </c:pt>
                <c:pt idx="29">
                  <c:v>2270</c:v>
                </c:pt>
              </c:strCache>
            </c:strRef>
          </c:xVal>
          <c:yVal>
            <c:numRef>
              <c:f>step100!$D$1:$D$30</c:f>
              <c:numCache>
                <c:formatCode>General</c:formatCode>
                <c:ptCount val="30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44.345936035134827</c:v>
                </c:pt>
                <c:pt idx="11">
                  <c:v>91.262302765091135</c:v>
                </c:pt>
                <c:pt idx="12">
                  <c:v>96.127142251259187</c:v>
                </c:pt>
                <c:pt idx="13">
                  <c:v>98.558258247164872</c:v>
                </c:pt>
                <c:pt idx="14">
                  <c:v>97.328731529402063</c:v>
                </c:pt>
                <c:pt idx="15">
                  <c:v>97.348939610728948</c:v>
                </c:pt>
                <c:pt idx="16">
                  <c:v>98.558258247164872</c:v>
                </c:pt>
                <c:pt idx="17">
                  <c:v>97.341489626829514</c:v>
                </c:pt>
                <c:pt idx="18">
                  <c:v>97.328731529402063</c:v>
                </c:pt>
                <c:pt idx="19">
                  <c:v>97.341489626829514</c:v>
                </c:pt>
                <c:pt idx="20">
                  <c:v>98.565801355860913</c:v>
                </c:pt>
                <c:pt idx="21">
                  <c:v>97.341489626829514</c:v>
                </c:pt>
                <c:pt idx="22">
                  <c:v>98.558258247164872</c:v>
                </c:pt>
                <c:pt idx="23">
                  <c:v>97.348939610728948</c:v>
                </c:pt>
                <c:pt idx="24">
                  <c:v>98.558258247164872</c:v>
                </c:pt>
                <c:pt idx="25">
                  <c:v>96.127142251261304</c:v>
                </c:pt>
                <c:pt idx="26">
                  <c:v>98.558258247164872</c:v>
                </c:pt>
                <c:pt idx="27">
                  <c:v>98.558258247164872</c:v>
                </c:pt>
                <c:pt idx="28">
                  <c:v>97.348939610726831</c:v>
                </c:pt>
                <c:pt idx="29">
                  <c:v>97.341489626829514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4D-4DBB-891F-9CE0DCBE7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743968"/>
        <c:axId val="991764608"/>
      </c:scatterChart>
      <c:valAx>
        <c:axId val="99174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64608"/>
        <c:crosses val="autoZero"/>
        <c:crossBetween val="midCat"/>
      </c:valAx>
      <c:valAx>
        <c:axId val="99176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4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542924</xdr:colOff>
      <xdr:row>0</xdr:row>
      <xdr:rowOff>52386</xdr:rowOff>
    </xdr:from>
    <xdr:to>
      <xdr:col>19</xdr:col>
      <xdr:colOff>600075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30D83-A802-53DE-A186-24D28551C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419100</xdr:colOff>
      <xdr:row>17</xdr:row>
      <xdr:rowOff>76200</xdr:rowOff>
    </xdr:from>
    <xdr:to>
      <xdr:col>16</xdr:col>
      <xdr:colOff>476251</xdr:colOff>
      <xdr:row>34</xdr:row>
      <xdr:rowOff>52389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48288C-5BE9-4A40-9380-967AB2B09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A4A-023D-4A35-B29D-5F5A695D6A3C}">
  <dimension ref="A1:G93"/>
  <sheetViews>
    <sheetView tabSelected="1" workbookViewId="0">
      <selection activeCell="I15" sqref="I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16</v>
      </c>
      <c r="B2">
        <v>185.9007</v>
      </c>
      <c r="C2">
        <v>0</v>
      </c>
      <c r="F2">
        <f>AVERAGE(E:E)</f>
        <v>1.0000355166284691</v>
      </c>
      <c r="G2">
        <v>6034.4869583446898</v>
      </c>
    </row>
    <row r="3" spans="1:7" x14ac:dyDescent="0.25">
      <c r="A3">
        <v>97</v>
      </c>
      <c r="B3">
        <v>185.9007</v>
      </c>
      <c r="C3">
        <v>0</v>
      </c>
      <c r="D3">
        <f>(B3-B2)/(A3-A2)*$G$2</f>
        <v>0</v>
      </c>
    </row>
    <row r="4" spans="1:7" x14ac:dyDescent="0.25">
      <c r="A4">
        <v>177</v>
      </c>
      <c r="B4">
        <v>185.9007</v>
      </c>
      <c r="C4">
        <v>0</v>
      </c>
      <c r="D4">
        <f t="shared" ref="D4:D67" si="0">(B4-B3)/(A4-A3)*$G$2</f>
        <v>0</v>
      </c>
    </row>
    <row r="5" spans="1:7" x14ac:dyDescent="0.25">
      <c r="A5">
        <v>258</v>
      </c>
      <c r="B5">
        <v>185.9007</v>
      </c>
      <c r="C5">
        <v>0</v>
      </c>
      <c r="D5">
        <f t="shared" si="0"/>
        <v>0</v>
      </c>
    </row>
    <row r="6" spans="1:7" x14ac:dyDescent="0.25">
      <c r="A6">
        <v>338</v>
      </c>
      <c r="B6">
        <v>185.9007</v>
      </c>
      <c r="C6">
        <v>0</v>
      </c>
      <c r="D6">
        <f t="shared" si="0"/>
        <v>0</v>
      </c>
    </row>
    <row r="7" spans="1:7" x14ac:dyDescent="0.25">
      <c r="A7">
        <v>419</v>
      </c>
      <c r="B7">
        <v>185.9007</v>
      </c>
      <c r="C7">
        <v>0</v>
      </c>
      <c r="D7">
        <f t="shared" si="0"/>
        <v>0</v>
      </c>
    </row>
    <row r="8" spans="1:7" x14ac:dyDescent="0.25">
      <c r="A8">
        <v>499</v>
      </c>
      <c r="B8">
        <v>185.9007</v>
      </c>
      <c r="C8">
        <v>0</v>
      </c>
      <c r="D8">
        <f t="shared" si="0"/>
        <v>0</v>
      </c>
    </row>
    <row r="9" spans="1:7" x14ac:dyDescent="0.25">
      <c r="A9">
        <v>579</v>
      </c>
      <c r="B9">
        <v>185.9007</v>
      </c>
      <c r="C9">
        <v>0</v>
      </c>
      <c r="D9">
        <f t="shared" si="0"/>
        <v>0</v>
      </c>
    </row>
    <row r="10" spans="1:7" x14ac:dyDescent="0.25">
      <c r="A10">
        <v>660</v>
      </c>
      <c r="B10">
        <v>185.9007</v>
      </c>
      <c r="C10">
        <v>0</v>
      </c>
      <c r="D10">
        <f t="shared" si="0"/>
        <v>0</v>
      </c>
    </row>
    <row r="11" spans="1:7" x14ac:dyDescent="0.25">
      <c r="A11">
        <v>740</v>
      </c>
      <c r="B11">
        <v>186.48859999999999</v>
      </c>
      <c r="C11">
        <v>44.098700000000001</v>
      </c>
      <c r="D11">
        <f t="shared" si="0"/>
        <v>44.345936035134827</v>
      </c>
      <c r="E11">
        <f>C11/D11</f>
        <v>0.99442483218893063</v>
      </c>
    </row>
    <row r="12" spans="1:7" x14ac:dyDescent="0.25">
      <c r="A12">
        <v>821</v>
      </c>
      <c r="B12">
        <v>187.71360000000001</v>
      </c>
      <c r="C12">
        <v>91.872399999999999</v>
      </c>
      <c r="D12">
        <f t="shared" si="0"/>
        <v>91.262302765091135</v>
      </c>
      <c r="E12">
        <f t="shared" ref="E12:E75" si="1">C12/D12</f>
        <v>1.0066850957780371</v>
      </c>
    </row>
    <row r="13" spans="1:7" x14ac:dyDescent="0.25">
      <c r="A13">
        <v>902</v>
      </c>
      <c r="B13">
        <v>189.00389999999999</v>
      </c>
      <c r="C13">
        <v>96.772199999999998</v>
      </c>
      <c r="D13">
        <f t="shared" si="0"/>
        <v>96.127142251259187</v>
      </c>
      <c r="E13">
        <f t="shared" si="1"/>
        <v>1.0067104642209663</v>
      </c>
    </row>
    <row r="14" spans="1:7" x14ac:dyDescent="0.25">
      <c r="A14">
        <v>982</v>
      </c>
      <c r="B14">
        <v>190.31049999999999</v>
      </c>
      <c r="C14">
        <v>97.997200000000007</v>
      </c>
      <c r="D14">
        <f t="shared" si="0"/>
        <v>98.558258247164872</v>
      </c>
      <c r="E14">
        <f t="shared" si="1"/>
        <v>0.99430734413185506</v>
      </c>
    </row>
    <row r="15" spans="1:7" x14ac:dyDescent="0.25">
      <c r="A15">
        <v>1062</v>
      </c>
      <c r="B15">
        <v>191.60079999999999</v>
      </c>
      <c r="C15">
        <v>96.772199999999998</v>
      </c>
      <c r="D15">
        <f t="shared" si="0"/>
        <v>97.328731529402063</v>
      </c>
      <c r="E15">
        <f t="shared" si="1"/>
        <v>0.99428193997130287</v>
      </c>
    </row>
    <row r="16" spans="1:7" x14ac:dyDescent="0.25">
      <c r="A16">
        <v>1143</v>
      </c>
      <c r="B16">
        <v>192.9075</v>
      </c>
      <c r="C16">
        <v>97.997200000000007</v>
      </c>
      <c r="D16">
        <f t="shared" si="0"/>
        <v>97.348939610728948</v>
      </c>
      <c r="E16">
        <f t="shared" si="1"/>
        <v>1.0066591417622346</v>
      </c>
    </row>
    <row r="17" spans="1:5" x14ac:dyDescent="0.25">
      <c r="A17">
        <v>1223</v>
      </c>
      <c r="B17">
        <v>194.2141</v>
      </c>
      <c r="C17">
        <v>97.997200000000007</v>
      </c>
      <c r="D17">
        <f t="shared" si="0"/>
        <v>98.558258247164872</v>
      </c>
      <c r="E17">
        <f t="shared" si="1"/>
        <v>0.99430734413185506</v>
      </c>
    </row>
    <row r="18" spans="1:5" x14ac:dyDescent="0.25">
      <c r="A18">
        <v>1304</v>
      </c>
      <c r="B18">
        <v>195.52070000000001</v>
      </c>
      <c r="C18">
        <v>97.997200000000007</v>
      </c>
      <c r="D18">
        <f t="shared" si="0"/>
        <v>97.341489626829514</v>
      </c>
      <c r="E18">
        <f t="shared" si="1"/>
        <v>1.0067361859335031</v>
      </c>
    </row>
    <row r="19" spans="1:5" x14ac:dyDescent="0.25">
      <c r="A19">
        <v>1384</v>
      </c>
      <c r="B19">
        <v>196.81100000000001</v>
      </c>
      <c r="C19">
        <v>96.772199999999998</v>
      </c>
      <c r="D19">
        <f t="shared" si="0"/>
        <v>97.328731529402063</v>
      </c>
      <c r="E19">
        <f t="shared" si="1"/>
        <v>0.99428193997130287</v>
      </c>
    </row>
    <row r="20" spans="1:5" x14ac:dyDescent="0.25">
      <c r="A20">
        <v>1465</v>
      </c>
      <c r="B20">
        <v>198.11760000000001</v>
      </c>
      <c r="C20">
        <v>97.997200000000007</v>
      </c>
      <c r="D20">
        <f t="shared" si="0"/>
        <v>97.341489626829514</v>
      </c>
      <c r="E20">
        <f t="shared" si="1"/>
        <v>1.0067361859335031</v>
      </c>
    </row>
    <row r="21" spans="1:5" x14ac:dyDescent="0.25">
      <c r="A21">
        <v>1545</v>
      </c>
      <c r="B21">
        <v>199.42429999999999</v>
      </c>
      <c r="C21">
        <v>97.997200000000007</v>
      </c>
      <c r="D21">
        <f t="shared" si="0"/>
        <v>98.565801355860913</v>
      </c>
      <c r="E21">
        <f t="shared" si="1"/>
        <v>0.99423125112321631</v>
      </c>
    </row>
    <row r="22" spans="1:5" x14ac:dyDescent="0.25">
      <c r="A22">
        <v>1626</v>
      </c>
      <c r="B22">
        <v>200.73089999999999</v>
      </c>
      <c r="C22">
        <v>97.997200000000007</v>
      </c>
      <c r="D22">
        <f t="shared" si="0"/>
        <v>97.341489626829514</v>
      </c>
      <c r="E22">
        <f t="shared" si="1"/>
        <v>1.0067361859335031</v>
      </c>
    </row>
    <row r="23" spans="1:5" x14ac:dyDescent="0.25">
      <c r="A23">
        <v>1706</v>
      </c>
      <c r="B23">
        <v>202.03749999999999</v>
      </c>
      <c r="C23">
        <v>97.997200000000007</v>
      </c>
      <c r="D23">
        <f t="shared" si="0"/>
        <v>98.558258247164872</v>
      </c>
      <c r="E23">
        <f t="shared" si="1"/>
        <v>0.99430734413185506</v>
      </c>
    </row>
    <row r="24" spans="1:5" x14ac:dyDescent="0.25">
      <c r="A24">
        <v>1787</v>
      </c>
      <c r="B24">
        <v>203.3442</v>
      </c>
      <c r="C24">
        <v>97.997200000000007</v>
      </c>
      <c r="D24">
        <f t="shared" si="0"/>
        <v>97.348939610728948</v>
      </c>
      <c r="E24">
        <f t="shared" si="1"/>
        <v>1.0066591417622346</v>
      </c>
    </row>
    <row r="25" spans="1:5" x14ac:dyDescent="0.25">
      <c r="A25">
        <v>1867</v>
      </c>
      <c r="B25">
        <v>204.6508</v>
      </c>
      <c r="C25">
        <v>97.997200000000007</v>
      </c>
      <c r="D25">
        <f t="shared" si="0"/>
        <v>98.558258247164872</v>
      </c>
      <c r="E25">
        <f t="shared" si="1"/>
        <v>0.99430734413185506</v>
      </c>
    </row>
    <row r="26" spans="1:5" x14ac:dyDescent="0.25">
      <c r="A26">
        <v>1948</v>
      </c>
      <c r="B26">
        <v>205.94110000000001</v>
      </c>
      <c r="C26">
        <v>96.772199999999998</v>
      </c>
      <c r="D26">
        <f t="shared" si="0"/>
        <v>96.127142251261304</v>
      </c>
      <c r="E26">
        <f t="shared" si="1"/>
        <v>1.0067104642209441</v>
      </c>
    </row>
    <row r="27" spans="1:5" x14ac:dyDescent="0.25">
      <c r="A27">
        <v>2028</v>
      </c>
      <c r="B27">
        <v>207.24770000000001</v>
      </c>
      <c r="C27">
        <v>97.997200000000007</v>
      </c>
      <c r="D27">
        <f t="shared" si="0"/>
        <v>98.558258247164872</v>
      </c>
      <c r="E27">
        <f t="shared" si="1"/>
        <v>0.99430734413185506</v>
      </c>
    </row>
    <row r="28" spans="1:5" x14ac:dyDescent="0.25">
      <c r="A28">
        <v>2108</v>
      </c>
      <c r="B28">
        <v>208.55430000000001</v>
      </c>
      <c r="C28">
        <v>97.997200000000007</v>
      </c>
      <c r="D28">
        <f t="shared" si="0"/>
        <v>98.558258247164872</v>
      </c>
      <c r="E28">
        <f t="shared" si="1"/>
        <v>0.99430734413185506</v>
      </c>
    </row>
    <row r="29" spans="1:5" x14ac:dyDescent="0.25">
      <c r="A29">
        <v>2189</v>
      </c>
      <c r="B29">
        <v>209.86099999999999</v>
      </c>
      <c r="C29">
        <v>97.997200000000007</v>
      </c>
      <c r="D29">
        <f t="shared" si="0"/>
        <v>97.348939610726831</v>
      </c>
      <c r="E29">
        <f t="shared" si="1"/>
        <v>1.0066591417622566</v>
      </c>
    </row>
    <row r="30" spans="1:5" x14ac:dyDescent="0.25">
      <c r="A30">
        <v>2270</v>
      </c>
      <c r="B30">
        <v>211.16759999999999</v>
      </c>
      <c r="C30">
        <v>97.997200000000007</v>
      </c>
      <c r="D30">
        <f t="shared" si="0"/>
        <v>97.341489626829514</v>
      </c>
      <c r="E30">
        <f t="shared" si="1"/>
        <v>1.0067361859335031</v>
      </c>
    </row>
    <row r="31" spans="1:5" x14ac:dyDescent="0.25">
      <c r="A31">
        <v>2350</v>
      </c>
      <c r="B31">
        <v>212.4742</v>
      </c>
      <c r="C31">
        <v>97.997200000000007</v>
      </c>
      <c r="D31">
        <f t="shared" si="0"/>
        <v>98.558258247164872</v>
      </c>
      <c r="E31">
        <f t="shared" si="1"/>
        <v>0.99430734413185506</v>
      </c>
    </row>
    <row r="32" spans="1:5" x14ac:dyDescent="0.25">
      <c r="A32">
        <v>2430</v>
      </c>
      <c r="B32">
        <v>213.7645</v>
      </c>
      <c r="C32">
        <v>96.772199999999998</v>
      </c>
      <c r="D32">
        <f t="shared" si="0"/>
        <v>97.328731529402063</v>
      </c>
      <c r="E32">
        <f t="shared" si="1"/>
        <v>0.99428193997130287</v>
      </c>
    </row>
    <row r="33" spans="1:5" x14ac:dyDescent="0.25">
      <c r="A33">
        <v>2511</v>
      </c>
      <c r="B33">
        <v>215.0548</v>
      </c>
      <c r="C33">
        <v>96.772199999999998</v>
      </c>
      <c r="D33">
        <f t="shared" si="0"/>
        <v>96.127142251261304</v>
      </c>
      <c r="E33">
        <f t="shared" si="1"/>
        <v>1.0067104642209441</v>
      </c>
    </row>
    <row r="34" spans="1:5" x14ac:dyDescent="0.25">
      <c r="A34">
        <v>2591</v>
      </c>
      <c r="B34">
        <v>216.18180000000001</v>
      </c>
      <c r="C34">
        <v>84.522599999999997</v>
      </c>
      <c r="D34">
        <f t="shared" si="0"/>
        <v>85.01083502568153</v>
      </c>
      <c r="E34">
        <f t="shared" si="1"/>
        <v>0.99425679061340788</v>
      </c>
    </row>
    <row r="35" spans="1:5" x14ac:dyDescent="0.25">
      <c r="A35">
        <v>2672</v>
      </c>
      <c r="B35">
        <v>217.12909999999999</v>
      </c>
      <c r="C35">
        <v>71.048000000000002</v>
      </c>
      <c r="D35">
        <f t="shared" si="0"/>
        <v>70.573697477034926</v>
      </c>
      <c r="E35">
        <f t="shared" si="1"/>
        <v>1.006720669880155</v>
      </c>
    </row>
    <row r="36" spans="1:5" x14ac:dyDescent="0.25">
      <c r="A36">
        <v>2753</v>
      </c>
      <c r="B36">
        <v>217.92939999999999</v>
      </c>
      <c r="C36">
        <v>60.023299999999999</v>
      </c>
      <c r="D36">
        <f t="shared" si="0"/>
        <v>59.622221145224849</v>
      </c>
      <c r="E36">
        <f t="shared" si="1"/>
        <v>1.0067270029038036</v>
      </c>
    </row>
    <row r="37" spans="1:5" x14ac:dyDescent="0.25">
      <c r="A37">
        <v>2833</v>
      </c>
      <c r="B37">
        <v>218.55009999999999</v>
      </c>
      <c r="C37">
        <v>46.548699999999997</v>
      </c>
      <c r="D37">
        <f t="shared" si="0"/>
        <v>46.820075688056818</v>
      </c>
      <c r="E37">
        <f t="shared" si="1"/>
        <v>0.99420386054339405</v>
      </c>
    </row>
    <row r="38" spans="1:5" x14ac:dyDescent="0.25">
      <c r="A38">
        <v>2913</v>
      </c>
      <c r="B38">
        <v>219.02369999999999</v>
      </c>
      <c r="C38">
        <v>35.524000000000001</v>
      </c>
      <c r="D38">
        <f t="shared" si="0"/>
        <v>35.724162793400922</v>
      </c>
      <c r="E38">
        <f t="shared" si="1"/>
        <v>0.99439699134284831</v>
      </c>
    </row>
    <row r="39" spans="1:5" x14ac:dyDescent="0.25">
      <c r="A39">
        <v>2994</v>
      </c>
      <c r="B39">
        <v>219.36670000000001</v>
      </c>
      <c r="C39">
        <v>25.724299999999999</v>
      </c>
      <c r="D39">
        <f t="shared" si="0"/>
        <v>25.553444774226367</v>
      </c>
      <c r="E39">
        <f t="shared" si="1"/>
        <v>1.0066861915206813</v>
      </c>
    </row>
    <row r="40" spans="1:5" x14ac:dyDescent="0.25">
      <c r="A40">
        <v>3074</v>
      </c>
      <c r="B40">
        <v>219.57900000000001</v>
      </c>
      <c r="C40">
        <v>15.9245</v>
      </c>
      <c r="D40">
        <f t="shared" si="0"/>
        <v>16.01401976570715</v>
      </c>
      <c r="E40">
        <f t="shared" si="1"/>
        <v>0.99440991287528879</v>
      </c>
    </row>
    <row r="41" spans="1:5" x14ac:dyDescent="0.25">
      <c r="A41">
        <v>3155</v>
      </c>
      <c r="B41">
        <v>219.66069999999999</v>
      </c>
      <c r="C41">
        <v>6.1247999999999996</v>
      </c>
      <c r="D41">
        <f t="shared" si="0"/>
        <v>6.0866368456378099</v>
      </c>
      <c r="E41">
        <f t="shared" si="1"/>
        <v>1.0062699903625005</v>
      </c>
    </row>
    <row r="42" spans="1:5" x14ac:dyDescent="0.25">
      <c r="A42">
        <v>3235</v>
      </c>
      <c r="B42">
        <v>219.66069999999999</v>
      </c>
      <c r="C42">
        <v>0</v>
      </c>
      <c r="D42">
        <f t="shared" si="0"/>
        <v>0</v>
      </c>
    </row>
    <row r="43" spans="1:5" x14ac:dyDescent="0.25">
      <c r="A43">
        <v>3315</v>
      </c>
      <c r="B43">
        <v>219.66069999999999</v>
      </c>
      <c r="C43">
        <v>0</v>
      </c>
      <c r="D43">
        <f t="shared" si="0"/>
        <v>0</v>
      </c>
    </row>
    <row r="44" spans="1:5" x14ac:dyDescent="0.25">
      <c r="A44">
        <v>3396</v>
      </c>
      <c r="B44">
        <v>219.66069999999999</v>
      </c>
      <c r="C44">
        <v>0</v>
      </c>
      <c r="D44">
        <f t="shared" si="0"/>
        <v>0</v>
      </c>
    </row>
    <row r="45" spans="1:5" x14ac:dyDescent="0.25">
      <c r="A45">
        <v>3476</v>
      </c>
      <c r="B45">
        <v>219.66069999999999</v>
      </c>
      <c r="C45">
        <v>0</v>
      </c>
      <c r="D45">
        <f t="shared" si="0"/>
        <v>0</v>
      </c>
    </row>
    <row r="46" spans="1:5" x14ac:dyDescent="0.25">
      <c r="A46">
        <v>3557</v>
      </c>
      <c r="B46">
        <v>219.66069999999999</v>
      </c>
      <c r="C46">
        <v>0</v>
      </c>
      <c r="D46">
        <f t="shared" si="0"/>
        <v>0</v>
      </c>
    </row>
    <row r="47" spans="1:5" x14ac:dyDescent="0.25">
      <c r="A47">
        <v>3637</v>
      </c>
      <c r="B47">
        <v>219.66069999999999</v>
      </c>
      <c r="C47">
        <v>0</v>
      </c>
      <c r="D47">
        <f t="shared" si="0"/>
        <v>0</v>
      </c>
    </row>
    <row r="48" spans="1:5" x14ac:dyDescent="0.25">
      <c r="A48">
        <v>3718</v>
      </c>
      <c r="B48">
        <v>219.66069999999999</v>
      </c>
      <c r="C48">
        <v>0</v>
      </c>
      <c r="D48">
        <f t="shared" si="0"/>
        <v>0</v>
      </c>
    </row>
    <row r="49" spans="1:5" x14ac:dyDescent="0.25">
      <c r="A49">
        <v>3798</v>
      </c>
      <c r="B49">
        <v>219.66069999999999</v>
      </c>
      <c r="C49">
        <v>0</v>
      </c>
      <c r="D49">
        <f t="shared" si="0"/>
        <v>0</v>
      </c>
    </row>
    <row r="50" spans="1:5" x14ac:dyDescent="0.25">
      <c r="A50">
        <v>3879</v>
      </c>
      <c r="B50">
        <v>219.66069999999999</v>
      </c>
      <c r="C50">
        <v>0</v>
      </c>
      <c r="D50">
        <f t="shared" si="0"/>
        <v>0</v>
      </c>
    </row>
    <row r="51" spans="1:5" x14ac:dyDescent="0.25">
      <c r="A51">
        <v>3959</v>
      </c>
      <c r="B51">
        <v>219.66069999999999</v>
      </c>
      <c r="C51">
        <v>0</v>
      </c>
      <c r="D51">
        <f t="shared" si="0"/>
        <v>0</v>
      </c>
    </row>
    <row r="52" spans="1:5" x14ac:dyDescent="0.25">
      <c r="A52">
        <v>4040</v>
      </c>
      <c r="B52">
        <v>219.66069999999999</v>
      </c>
      <c r="C52">
        <v>0</v>
      </c>
      <c r="D52">
        <f t="shared" si="0"/>
        <v>0</v>
      </c>
    </row>
    <row r="53" spans="1:5" x14ac:dyDescent="0.25">
      <c r="A53">
        <v>4120</v>
      </c>
      <c r="B53">
        <v>219.66069999999999</v>
      </c>
      <c r="C53">
        <v>0</v>
      </c>
      <c r="D53">
        <f t="shared" si="0"/>
        <v>0</v>
      </c>
    </row>
    <row r="54" spans="1:5" x14ac:dyDescent="0.25">
      <c r="A54">
        <v>4200</v>
      </c>
      <c r="B54">
        <v>219.66069999999999</v>
      </c>
      <c r="C54">
        <v>0</v>
      </c>
      <c r="D54">
        <f t="shared" si="0"/>
        <v>0</v>
      </c>
    </row>
    <row r="55" spans="1:5" x14ac:dyDescent="0.25">
      <c r="A55">
        <v>4281</v>
      </c>
      <c r="B55">
        <v>219.66069999999999</v>
      </c>
      <c r="C55">
        <v>0</v>
      </c>
      <c r="D55">
        <f t="shared" si="0"/>
        <v>0</v>
      </c>
    </row>
    <row r="56" spans="1:5" x14ac:dyDescent="0.25">
      <c r="A56">
        <v>4361</v>
      </c>
      <c r="B56">
        <v>219.66069999999999</v>
      </c>
      <c r="C56">
        <v>0</v>
      </c>
      <c r="D56">
        <f t="shared" si="0"/>
        <v>0</v>
      </c>
    </row>
    <row r="57" spans="1:5" x14ac:dyDescent="0.25">
      <c r="A57">
        <v>4442</v>
      </c>
      <c r="B57">
        <v>219.66069999999999</v>
      </c>
      <c r="C57">
        <v>0</v>
      </c>
      <c r="D57">
        <f t="shared" si="0"/>
        <v>0</v>
      </c>
    </row>
    <row r="58" spans="1:5" x14ac:dyDescent="0.25">
      <c r="A58">
        <v>4522</v>
      </c>
      <c r="B58">
        <v>219.77500000000001</v>
      </c>
      <c r="C58">
        <v>8.5747999999999998</v>
      </c>
      <c r="D58">
        <f t="shared" si="0"/>
        <v>8.6217732417360526</v>
      </c>
      <c r="E58">
        <f t="shared" si="1"/>
        <v>0.99455178877720118</v>
      </c>
    </row>
    <row r="59" spans="1:5" x14ac:dyDescent="0.25">
      <c r="A59">
        <v>4603</v>
      </c>
      <c r="B59">
        <v>220.8203</v>
      </c>
      <c r="C59">
        <v>78.3977</v>
      </c>
      <c r="D59">
        <f t="shared" si="0"/>
        <v>77.874681698243066</v>
      </c>
      <c r="E59">
        <f t="shared" si="1"/>
        <v>1.006716153316473</v>
      </c>
    </row>
    <row r="60" spans="1:5" x14ac:dyDescent="0.25">
      <c r="A60">
        <v>4683</v>
      </c>
      <c r="B60">
        <v>222.0943</v>
      </c>
      <c r="C60">
        <v>95.547300000000007</v>
      </c>
      <c r="D60">
        <f t="shared" si="0"/>
        <v>96.099204811639254</v>
      </c>
      <c r="E60">
        <f t="shared" si="1"/>
        <v>0.99425692634272034</v>
      </c>
    </row>
    <row r="61" spans="1:5" x14ac:dyDescent="0.25">
      <c r="A61">
        <v>4764</v>
      </c>
      <c r="B61">
        <v>223.38460000000001</v>
      </c>
      <c r="C61">
        <v>96.772199999999998</v>
      </c>
      <c r="D61">
        <f t="shared" si="0"/>
        <v>96.127142251261304</v>
      </c>
      <c r="E61">
        <f t="shared" si="1"/>
        <v>1.0067104642209441</v>
      </c>
    </row>
    <row r="62" spans="1:5" x14ac:dyDescent="0.25">
      <c r="A62">
        <v>4844</v>
      </c>
      <c r="B62">
        <v>224.69120000000001</v>
      </c>
      <c r="C62">
        <v>97.997200000000007</v>
      </c>
      <c r="D62">
        <f t="shared" si="0"/>
        <v>98.558258247164872</v>
      </c>
      <c r="E62">
        <f t="shared" si="1"/>
        <v>0.99430734413185506</v>
      </c>
    </row>
    <row r="63" spans="1:5" x14ac:dyDescent="0.25">
      <c r="A63">
        <v>4925</v>
      </c>
      <c r="B63">
        <v>225.99780000000001</v>
      </c>
      <c r="C63">
        <v>97.997200000000007</v>
      </c>
      <c r="D63">
        <f t="shared" si="0"/>
        <v>97.341489626829514</v>
      </c>
      <c r="E63">
        <f t="shared" si="1"/>
        <v>1.0067361859335031</v>
      </c>
    </row>
    <row r="64" spans="1:5" x14ac:dyDescent="0.25">
      <c r="A64">
        <v>5005</v>
      </c>
      <c r="B64">
        <v>227.28809999999999</v>
      </c>
      <c r="C64">
        <v>96.772199999999998</v>
      </c>
      <c r="D64">
        <f t="shared" si="0"/>
        <v>97.328731529399931</v>
      </c>
      <c r="E64">
        <f t="shared" si="1"/>
        <v>0.99428193997132464</v>
      </c>
    </row>
    <row r="65" spans="1:5" x14ac:dyDescent="0.25">
      <c r="A65">
        <v>5086</v>
      </c>
      <c r="B65">
        <v>228.59479999999999</v>
      </c>
      <c r="C65">
        <v>97.997200000000007</v>
      </c>
      <c r="D65">
        <f t="shared" si="0"/>
        <v>97.348939610728948</v>
      </c>
      <c r="E65">
        <f t="shared" si="1"/>
        <v>1.0066591417622346</v>
      </c>
    </row>
    <row r="66" spans="1:5" x14ac:dyDescent="0.25">
      <c r="A66">
        <v>5166</v>
      </c>
      <c r="B66">
        <v>229.9014</v>
      </c>
      <c r="C66">
        <v>97.997200000000007</v>
      </c>
      <c r="D66">
        <f t="shared" si="0"/>
        <v>98.558258247164872</v>
      </c>
      <c r="E66">
        <f t="shared" si="1"/>
        <v>0.99430734413185506</v>
      </c>
    </row>
    <row r="67" spans="1:5" x14ac:dyDescent="0.25">
      <c r="A67">
        <v>5246</v>
      </c>
      <c r="B67">
        <v>231.208</v>
      </c>
      <c r="C67">
        <v>97.997200000000007</v>
      </c>
      <c r="D67">
        <f t="shared" si="0"/>
        <v>98.558258247164872</v>
      </c>
      <c r="E67">
        <f t="shared" si="1"/>
        <v>0.99430734413185506</v>
      </c>
    </row>
    <row r="68" spans="1:5" x14ac:dyDescent="0.25">
      <c r="A68">
        <v>5327</v>
      </c>
      <c r="B68">
        <v>232.5146</v>
      </c>
      <c r="C68">
        <v>97.997200000000007</v>
      </c>
      <c r="D68">
        <f t="shared" ref="D68:D93" si="2">(B68-B67)/(A68-A67)*$G$2</f>
        <v>97.341489626829514</v>
      </c>
      <c r="E68">
        <f t="shared" si="1"/>
        <v>1.0067361859335031</v>
      </c>
    </row>
    <row r="69" spans="1:5" x14ac:dyDescent="0.25">
      <c r="A69">
        <v>5408</v>
      </c>
      <c r="B69">
        <v>233.82130000000001</v>
      </c>
      <c r="C69">
        <v>97.997200000000007</v>
      </c>
      <c r="D69">
        <f t="shared" si="2"/>
        <v>97.348939610728948</v>
      </c>
      <c r="E69">
        <f t="shared" si="1"/>
        <v>1.0066591417622346</v>
      </c>
    </row>
    <row r="70" spans="1:5" x14ac:dyDescent="0.25">
      <c r="A70">
        <v>5488</v>
      </c>
      <c r="B70">
        <v>235.12790000000001</v>
      </c>
      <c r="C70">
        <v>97.997200000000007</v>
      </c>
      <c r="D70">
        <f t="shared" si="2"/>
        <v>98.558258247164872</v>
      </c>
      <c r="E70">
        <f t="shared" si="1"/>
        <v>0.99430734413185506</v>
      </c>
    </row>
    <row r="71" spans="1:5" x14ac:dyDescent="0.25">
      <c r="A71">
        <v>5569</v>
      </c>
      <c r="B71">
        <v>236.43450000000001</v>
      </c>
      <c r="C71">
        <v>97.997200000000007</v>
      </c>
      <c r="D71">
        <f t="shared" si="2"/>
        <v>97.341489626829514</v>
      </c>
      <c r="E71">
        <f t="shared" si="1"/>
        <v>1.0067361859335031</v>
      </c>
    </row>
    <row r="72" spans="1:5" x14ac:dyDescent="0.25">
      <c r="A72">
        <v>5649</v>
      </c>
      <c r="B72">
        <v>237.74119999999999</v>
      </c>
      <c r="C72">
        <v>97.997200000000007</v>
      </c>
      <c r="D72">
        <f t="shared" si="2"/>
        <v>98.565801355860913</v>
      </c>
      <c r="E72">
        <f t="shared" si="1"/>
        <v>0.99423125112321631</v>
      </c>
    </row>
    <row r="73" spans="1:5" x14ac:dyDescent="0.25">
      <c r="A73">
        <v>5729</v>
      </c>
      <c r="B73">
        <v>239.03149999999999</v>
      </c>
      <c r="C73">
        <v>96.772199999999998</v>
      </c>
      <c r="D73">
        <f t="shared" si="2"/>
        <v>97.328731529402063</v>
      </c>
      <c r="E73">
        <f t="shared" si="1"/>
        <v>0.99428193997130287</v>
      </c>
    </row>
    <row r="74" spans="1:5" x14ac:dyDescent="0.25">
      <c r="A74">
        <v>5810</v>
      </c>
      <c r="B74">
        <v>240.3381</v>
      </c>
      <c r="C74">
        <v>97.997200000000007</v>
      </c>
      <c r="D74">
        <f t="shared" si="2"/>
        <v>97.341489626829514</v>
      </c>
      <c r="E74">
        <f t="shared" si="1"/>
        <v>1.0067361859335031</v>
      </c>
    </row>
    <row r="75" spans="1:5" x14ac:dyDescent="0.25">
      <c r="A75">
        <v>5890</v>
      </c>
      <c r="B75">
        <v>241.6447</v>
      </c>
      <c r="C75">
        <v>97.997200000000007</v>
      </c>
      <c r="D75">
        <f t="shared" si="2"/>
        <v>98.558258247164872</v>
      </c>
      <c r="E75">
        <f t="shared" si="1"/>
        <v>0.99430734413185506</v>
      </c>
    </row>
    <row r="76" spans="1:5" x14ac:dyDescent="0.25">
      <c r="A76">
        <v>5970</v>
      </c>
      <c r="B76">
        <v>242.9513</v>
      </c>
      <c r="C76">
        <v>97.997200000000007</v>
      </c>
      <c r="D76">
        <f t="shared" si="2"/>
        <v>98.558258247164872</v>
      </c>
      <c r="E76">
        <f t="shared" ref="E76:E93" si="3">C76/D76</f>
        <v>0.99430734413185506</v>
      </c>
    </row>
    <row r="77" spans="1:5" x14ac:dyDescent="0.25">
      <c r="A77">
        <v>6051</v>
      </c>
      <c r="B77">
        <v>244.25800000000001</v>
      </c>
      <c r="C77">
        <v>97.997200000000007</v>
      </c>
      <c r="D77">
        <f t="shared" si="2"/>
        <v>97.348939610728948</v>
      </c>
      <c r="E77">
        <f t="shared" si="3"/>
        <v>1.0066591417622346</v>
      </c>
    </row>
    <row r="78" spans="1:5" x14ac:dyDescent="0.25">
      <c r="A78">
        <v>6132</v>
      </c>
      <c r="B78">
        <v>245.56460000000001</v>
      </c>
      <c r="C78">
        <v>97.997200000000007</v>
      </c>
      <c r="D78">
        <f t="shared" si="2"/>
        <v>97.341489626829514</v>
      </c>
      <c r="E78">
        <f t="shared" si="3"/>
        <v>1.0067361859335031</v>
      </c>
    </row>
    <row r="79" spans="1:5" x14ac:dyDescent="0.25">
      <c r="A79">
        <v>6212</v>
      </c>
      <c r="B79">
        <v>246.87119999999999</v>
      </c>
      <c r="C79">
        <v>97.997200000000007</v>
      </c>
      <c r="D79">
        <f t="shared" si="2"/>
        <v>98.55825824716274</v>
      </c>
      <c r="E79">
        <f t="shared" si="3"/>
        <v>0.9943073441318766</v>
      </c>
    </row>
    <row r="80" spans="1:5" x14ac:dyDescent="0.25">
      <c r="A80">
        <v>6292</v>
      </c>
      <c r="B80">
        <v>248.17789999999999</v>
      </c>
      <c r="C80">
        <v>97.997200000000007</v>
      </c>
      <c r="D80">
        <f t="shared" si="2"/>
        <v>98.565801355863059</v>
      </c>
      <c r="E80">
        <f t="shared" si="3"/>
        <v>0.99423125112319466</v>
      </c>
    </row>
    <row r="81" spans="1:5" x14ac:dyDescent="0.25">
      <c r="A81">
        <v>6373</v>
      </c>
      <c r="B81">
        <v>249.4845</v>
      </c>
      <c r="C81">
        <v>97.997200000000007</v>
      </c>
      <c r="D81">
        <f t="shared" si="2"/>
        <v>97.341489626829514</v>
      </c>
      <c r="E81">
        <f t="shared" si="3"/>
        <v>1.0067361859335031</v>
      </c>
    </row>
    <row r="82" spans="1:5" x14ac:dyDescent="0.25">
      <c r="A82">
        <v>6457</v>
      </c>
      <c r="B82">
        <v>250.7911</v>
      </c>
      <c r="C82">
        <v>97.997200000000007</v>
      </c>
      <c r="D82">
        <f t="shared" si="2"/>
        <v>93.865007854442737</v>
      </c>
      <c r="E82">
        <f t="shared" si="3"/>
        <v>1.0440227113384477</v>
      </c>
    </row>
    <row r="83" spans="1:5" x14ac:dyDescent="0.25">
      <c r="A83">
        <v>6534</v>
      </c>
      <c r="B83">
        <v>252.09780000000001</v>
      </c>
      <c r="C83">
        <v>97.997200000000007</v>
      </c>
      <c r="D83">
        <f t="shared" si="2"/>
        <v>102.40602738271488</v>
      </c>
      <c r="E83">
        <f t="shared" si="3"/>
        <v>0.95694757920607476</v>
      </c>
    </row>
    <row r="84" spans="1:5" x14ac:dyDescent="0.25">
      <c r="A84">
        <v>6614</v>
      </c>
      <c r="B84">
        <v>253.40440000000001</v>
      </c>
      <c r="C84">
        <v>97.997200000000007</v>
      </c>
      <c r="D84">
        <f t="shared" si="2"/>
        <v>98.558258247164872</v>
      </c>
      <c r="E84">
        <f t="shared" si="3"/>
        <v>0.99430734413185506</v>
      </c>
    </row>
    <row r="85" spans="1:5" x14ac:dyDescent="0.25">
      <c r="A85">
        <v>6695</v>
      </c>
      <c r="B85">
        <v>254.71100000000001</v>
      </c>
      <c r="C85">
        <v>97.997200000000007</v>
      </c>
      <c r="D85">
        <f t="shared" si="2"/>
        <v>97.341489626829514</v>
      </c>
      <c r="E85">
        <f t="shared" si="3"/>
        <v>1.0067361859335031</v>
      </c>
    </row>
    <row r="86" spans="1:5" x14ac:dyDescent="0.25">
      <c r="A86">
        <v>6775</v>
      </c>
      <c r="B86">
        <v>256.01760000000002</v>
      </c>
      <c r="C86">
        <v>97.997200000000007</v>
      </c>
      <c r="D86">
        <f t="shared" si="2"/>
        <v>98.558258247164872</v>
      </c>
      <c r="E86">
        <f t="shared" si="3"/>
        <v>0.99430734413185506</v>
      </c>
    </row>
    <row r="87" spans="1:5" x14ac:dyDescent="0.25">
      <c r="A87">
        <v>6856</v>
      </c>
      <c r="B87">
        <v>257.32429999999999</v>
      </c>
      <c r="C87">
        <v>97.997200000000007</v>
      </c>
      <c r="D87">
        <f t="shared" si="2"/>
        <v>97.348939610726831</v>
      </c>
      <c r="E87">
        <f t="shared" si="3"/>
        <v>1.0066591417622566</v>
      </c>
    </row>
    <row r="88" spans="1:5" x14ac:dyDescent="0.25">
      <c r="A88">
        <v>6936</v>
      </c>
      <c r="B88">
        <v>258.51659999999998</v>
      </c>
      <c r="C88">
        <v>89.422399999999996</v>
      </c>
      <c r="D88">
        <f t="shared" si="2"/>
        <v>89.936485005428821</v>
      </c>
      <c r="E88">
        <f t="shared" si="3"/>
        <v>0.99428391041302322</v>
      </c>
    </row>
    <row r="89" spans="1:5" x14ac:dyDescent="0.25">
      <c r="A89">
        <v>7017</v>
      </c>
      <c r="B89">
        <v>259.5292</v>
      </c>
      <c r="C89">
        <v>75.947800000000001</v>
      </c>
      <c r="D89">
        <f t="shared" si="2"/>
        <v>75.43853696320933</v>
      </c>
      <c r="E89">
        <f t="shared" si="3"/>
        <v>1.0067507013960124</v>
      </c>
    </row>
    <row r="90" spans="1:5" x14ac:dyDescent="0.25">
      <c r="A90">
        <v>7097</v>
      </c>
      <c r="B90">
        <v>260.37849999999997</v>
      </c>
      <c r="C90">
        <v>63.6982</v>
      </c>
      <c r="D90">
        <f t="shared" si="2"/>
        <v>64.063622171524628</v>
      </c>
      <c r="E90">
        <f t="shared" si="3"/>
        <v>0.99429594894671669</v>
      </c>
    </row>
    <row r="91" spans="1:5" x14ac:dyDescent="0.25">
      <c r="A91">
        <v>7177</v>
      </c>
      <c r="B91">
        <v>261.06450000000001</v>
      </c>
      <c r="C91">
        <v>51.448500000000003</v>
      </c>
      <c r="D91">
        <f t="shared" si="2"/>
        <v>51.745725667808394</v>
      </c>
      <c r="E91">
        <f t="shared" si="3"/>
        <v>0.99425603440723809</v>
      </c>
    </row>
    <row r="92" spans="1:5" x14ac:dyDescent="0.25">
      <c r="A92">
        <v>7258</v>
      </c>
      <c r="B92">
        <v>261.6035</v>
      </c>
      <c r="C92">
        <v>40.4238</v>
      </c>
      <c r="D92">
        <f t="shared" si="2"/>
        <v>40.155413216638408</v>
      </c>
      <c r="E92">
        <f t="shared" si="3"/>
        <v>1.00668370119649</v>
      </c>
    </row>
    <row r="93" spans="1:5" x14ac:dyDescent="0.25">
      <c r="A93">
        <v>7338</v>
      </c>
      <c r="B93">
        <v>261.99549999999999</v>
      </c>
      <c r="C93">
        <v>29.3992</v>
      </c>
      <c r="D93">
        <f t="shared" si="2"/>
        <v>29.568986095888672</v>
      </c>
      <c r="E93">
        <f t="shared" si="3"/>
        <v>0.9942579669340682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conoron@student.ubc.ca</cp:lastModifiedBy>
  <dcterms:created xsi:type="dcterms:W3CDTF">2026-01-29T22:11:55Z</dcterms:created>
  <dcterms:modified xsi:type="dcterms:W3CDTF">2026-01-29T23:03:27Z</dcterms:modified>
</cp:coreProperties>
</file>